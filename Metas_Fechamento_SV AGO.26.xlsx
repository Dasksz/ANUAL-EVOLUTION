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nvne\Documents\Osvaldo\Arquivos - Osvaldo\02 - INFORMAÇÕES DE VENDAS\RELATÓRIOS PARA METAS\2026\METAS\"/>
    </mc:Choice>
  </mc:AlternateContent>
  <xr:revisionPtr revIDLastSave="0" documentId="13_ncr:1_{7905FF90-6724-4B2B-A6BF-717869B5CB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s 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9" i="1" l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AY29" i="1" s="1"/>
  <c r="E29" i="1"/>
  <c r="C29" i="1"/>
  <c r="AY28" i="1"/>
  <c r="AW28" i="1"/>
  <c r="AW29" i="1" s="1"/>
  <c r="Z28" i="1"/>
  <c r="Z29" i="1" s="1"/>
  <c r="D28" i="1"/>
  <c r="AX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Y27" i="1" s="1"/>
  <c r="E27" i="1"/>
  <c r="C27" i="1"/>
  <c r="AY26" i="1"/>
  <c r="AW26" i="1"/>
  <c r="Z26" i="1"/>
  <c r="D26" i="1"/>
  <c r="AY25" i="1"/>
  <c r="AW25" i="1"/>
  <c r="Z25" i="1"/>
  <c r="D25" i="1"/>
  <c r="AV25" i="1" s="1"/>
  <c r="AY24" i="1"/>
  <c r="AW24" i="1"/>
  <c r="Z24" i="1"/>
  <c r="D24" i="1"/>
  <c r="AV24" i="1" s="1"/>
  <c r="AY23" i="1"/>
  <c r="AW23" i="1"/>
  <c r="Z23" i="1"/>
  <c r="D23" i="1"/>
  <c r="AV23" i="1" s="1"/>
  <c r="AY22" i="1"/>
  <c r="AW22" i="1"/>
  <c r="Z22" i="1"/>
  <c r="D22" i="1"/>
  <c r="AV22" i="1" s="1"/>
  <c r="AY21" i="1"/>
  <c r="AW21" i="1"/>
  <c r="Z21" i="1"/>
  <c r="D21" i="1"/>
  <c r="AV21" i="1" s="1"/>
  <c r="AY20" i="1"/>
  <c r="AW20" i="1"/>
  <c r="Z20" i="1"/>
  <c r="D20" i="1"/>
  <c r="AY19" i="1"/>
  <c r="AW19" i="1"/>
  <c r="Z19" i="1"/>
  <c r="D19" i="1"/>
  <c r="AY18" i="1"/>
  <c r="AW18" i="1"/>
  <c r="Z18" i="1"/>
  <c r="D18" i="1"/>
  <c r="AY17" i="1"/>
  <c r="AW17" i="1"/>
  <c r="AW27" i="1" s="1"/>
  <c r="Z17" i="1"/>
  <c r="D17" i="1"/>
  <c r="AX16" i="1"/>
  <c r="AX30" i="1" s="1"/>
  <c r="AU16" i="1"/>
  <c r="AU30" i="1" s="1"/>
  <c r="AT16" i="1"/>
  <c r="AT30" i="1" s="1"/>
  <c r="AS16" i="1"/>
  <c r="AS30" i="1" s="1"/>
  <c r="AR16" i="1"/>
  <c r="AR30" i="1" s="1"/>
  <c r="AQ16" i="1"/>
  <c r="AQ30" i="1" s="1"/>
  <c r="AP16" i="1"/>
  <c r="AP30" i="1" s="1"/>
  <c r="AO16" i="1"/>
  <c r="AO30" i="1" s="1"/>
  <c r="AN16" i="1"/>
  <c r="AN30" i="1" s="1"/>
  <c r="AM16" i="1"/>
  <c r="AM30" i="1" s="1"/>
  <c r="AL16" i="1"/>
  <c r="AK16" i="1"/>
  <c r="AK30" i="1" s="1"/>
  <c r="AJ16" i="1"/>
  <c r="AJ30" i="1" s="1"/>
  <c r="AI16" i="1"/>
  <c r="AI30" i="1" s="1"/>
  <c r="AH16" i="1"/>
  <c r="AH30" i="1" s="1"/>
  <c r="AG16" i="1"/>
  <c r="AG30" i="1" s="1"/>
  <c r="AF16" i="1"/>
  <c r="AF30" i="1" s="1"/>
  <c r="AE16" i="1"/>
  <c r="AE30" i="1" s="1"/>
  <c r="AD16" i="1"/>
  <c r="AD30" i="1" s="1"/>
  <c r="AC16" i="1"/>
  <c r="AC30" i="1" s="1"/>
  <c r="AB16" i="1"/>
  <c r="AA16" i="1"/>
  <c r="AA30" i="1" s="1"/>
  <c r="Y16" i="1"/>
  <c r="Y30" i="1" s="1"/>
  <c r="X16" i="1"/>
  <c r="W16" i="1"/>
  <c r="W30" i="1" s="1"/>
  <c r="V16" i="1"/>
  <c r="V30" i="1" s="1"/>
  <c r="U16" i="1"/>
  <c r="U30" i="1" s="1"/>
  <c r="T16" i="1"/>
  <c r="T30" i="1" s="1"/>
  <c r="S16" i="1"/>
  <c r="S30" i="1" s="1"/>
  <c r="R16" i="1"/>
  <c r="R30" i="1" s="1"/>
  <c r="Q16" i="1"/>
  <c r="Q30" i="1" s="1"/>
  <c r="P16" i="1"/>
  <c r="O16" i="1"/>
  <c r="O30" i="1" s="1"/>
  <c r="N16" i="1"/>
  <c r="N30" i="1" s="1"/>
  <c r="M16" i="1"/>
  <c r="M30" i="1" s="1"/>
  <c r="L16" i="1"/>
  <c r="L30" i="1" s="1"/>
  <c r="K16" i="1"/>
  <c r="K30" i="1" s="1"/>
  <c r="J16" i="1"/>
  <c r="J30" i="1" s="1"/>
  <c r="I16" i="1"/>
  <c r="I30" i="1" s="1"/>
  <c r="H16" i="1"/>
  <c r="H30" i="1" s="1"/>
  <c r="G16" i="1"/>
  <c r="G30" i="1" s="1"/>
  <c r="F16" i="1"/>
  <c r="E16" i="1"/>
  <c r="E30" i="1" s="1"/>
  <c r="C16" i="1"/>
  <c r="AY15" i="1"/>
  <c r="AW15" i="1"/>
  <c r="Z15" i="1"/>
  <c r="D15" i="1"/>
  <c r="AV15" i="1" s="1"/>
  <c r="AY14" i="1"/>
  <c r="AW14" i="1"/>
  <c r="Z14" i="1"/>
  <c r="D14" i="1"/>
  <c r="AV14" i="1" s="1"/>
  <c r="AY13" i="1"/>
  <c r="AW13" i="1"/>
  <c r="Z13" i="1"/>
  <c r="D13" i="1"/>
  <c r="AV13" i="1" s="1"/>
  <c r="AY12" i="1"/>
  <c r="AW12" i="1"/>
  <c r="Z12" i="1"/>
  <c r="D12" i="1"/>
  <c r="AV12" i="1" s="1"/>
  <c r="AY11" i="1"/>
  <c r="AW11" i="1"/>
  <c r="Z11" i="1"/>
  <c r="D11" i="1"/>
  <c r="AV11" i="1" s="1"/>
  <c r="AY10" i="1"/>
  <c r="AW10" i="1"/>
  <c r="Z10" i="1"/>
  <c r="D10" i="1"/>
  <c r="AV10" i="1" s="1"/>
  <c r="AY9" i="1"/>
  <c r="AW9" i="1"/>
  <c r="Z9" i="1"/>
  <c r="D9" i="1"/>
  <c r="AV9" i="1" s="1"/>
  <c r="AY8" i="1"/>
  <c r="AW8" i="1"/>
  <c r="Z8" i="1"/>
  <c r="D8" i="1"/>
  <c r="AV8" i="1" s="1"/>
  <c r="AY7" i="1"/>
  <c r="AW7" i="1"/>
  <c r="Z7" i="1"/>
  <c r="D7" i="1"/>
  <c r="AV7" i="1" s="1"/>
  <c r="AY6" i="1"/>
  <c r="AW6" i="1"/>
  <c r="Z6" i="1"/>
  <c r="D6" i="1"/>
  <c r="AV6" i="1" s="1"/>
  <c r="AY5" i="1"/>
  <c r="AW5" i="1"/>
  <c r="Z5" i="1"/>
  <c r="D5" i="1"/>
  <c r="AV5" i="1" s="1"/>
  <c r="AY4" i="1"/>
  <c r="AW4" i="1"/>
  <c r="AW16" i="1" s="1"/>
  <c r="AW30" i="1" s="1"/>
  <c r="Z4" i="1"/>
  <c r="Z16" i="1" s="1"/>
  <c r="D4" i="1"/>
  <c r="C30" i="1" l="1"/>
  <c r="AL30" i="1"/>
  <c r="AV19" i="1"/>
  <c r="AV26" i="1"/>
  <c r="AV20" i="1"/>
  <c r="AV18" i="1"/>
  <c r="Z27" i="1"/>
  <c r="Z30" i="1" s="1"/>
  <c r="AB30" i="1"/>
  <c r="X30" i="1"/>
  <c r="P30" i="1"/>
  <c r="AV28" i="1"/>
  <c r="AV29" i="1" s="1"/>
  <c r="D29" i="1"/>
  <c r="D27" i="1"/>
  <c r="AV17" i="1"/>
  <c r="F30" i="1"/>
  <c r="AY16" i="1"/>
  <c r="AY30" i="1" s="1"/>
  <c r="D16" i="1"/>
  <c r="AV4" i="1"/>
  <c r="AV16" i="1" s="1"/>
  <c r="AV27" i="1" l="1"/>
  <c r="AV30" i="1" s="1"/>
  <c r="D30" i="1"/>
</calcChain>
</file>

<file path=xl/sharedStrings.xml><?xml version="1.0" encoding="utf-8"?>
<sst xmlns="http://schemas.openxmlformats.org/spreadsheetml/2006/main" count="207" uniqueCount="83">
  <si>
    <t>CÓD</t>
  </si>
  <si>
    <t>VENDEDOR</t>
  </si>
  <si>
    <t>TOTAL ELMA</t>
  </si>
  <si>
    <t/>
  </si>
  <si>
    <t>EXTRUSADOS</t>
  </si>
  <si>
    <t>NÃO EXTRUSADOS</t>
  </si>
  <si>
    <t>TORCIDA</t>
  </si>
  <si>
    <t>KG ELMA</t>
  </si>
  <si>
    <t>MIX SALTY</t>
  </si>
  <si>
    <t>TOTAL FOODS</t>
  </si>
  <si>
    <t>TODDYNHO</t>
  </si>
  <si>
    <t>TODDY</t>
  </si>
  <si>
    <t>QUAKER / KEROCOCO</t>
  </si>
  <si>
    <t>KG FOODS</t>
  </si>
  <si>
    <t>MIX FOODS</t>
  </si>
  <si>
    <t>GERAL</t>
  </si>
  <si>
    <t>AUDITORIA PEDEV</t>
  </si>
  <si>
    <t>FATURAMENTO</t>
  </si>
  <si>
    <t>POSITIVAÇÃO</t>
  </si>
  <si>
    <t>MÉDIA TRIM.</t>
  </si>
  <si>
    <t>META KG</t>
  </si>
  <si>
    <t>META MIX</t>
  </si>
  <si>
    <t>TONELADA</t>
  </si>
  <si>
    <t>META</t>
  </si>
  <si>
    <t>Meta</t>
  </si>
  <si>
    <t>Ajuste</t>
  </si>
  <si>
    <t>Volume</t>
  </si>
  <si>
    <t>Qtd</t>
  </si>
  <si>
    <t>Média Trim.</t>
  </si>
  <si>
    <t>284</t>
  </si>
  <si>
    <t>ILMARA BARROS SAMPAIO</t>
  </si>
  <si>
    <t>293</t>
  </si>
  <si>
    <t>GEOVÂNE OLIVEIRA CERQUEIRA DE CARVALHO</t>
  </si>
  <si>
    <t>286</t>
  </si>
  <si>
    <t>VALNEI NOVAIS DE CARVALHO</t>
  </si>
  <si>
    <t>282</t>
  </si>
  <si>
    <t>MATHEUS SOUZA MORAES DOS SANTOS</t>
  </si>
  <si>
    <t>320</t>
  </si>
  <si>
    <t>MILSON PEREIRA DA SILVA</t>
  </si>
  <si>
    <t>302</t>
  </si>
  <si>
    <t>UALISON NASCIMENTO DA SILVA</t>
  </si>
  <si>
    <t>292</t>
  </si>
  <si>
    <t>GEISA DA SILVA RODRIGUES</t>
  </si>
  <si>
    <t>318</t>
  </si>
  <si>
    <t>VITOR MATEUS BARRETO VIANA</t>
  </si>
  <si>
    <t>315</t>
  </si>
  <si>
    <t>HANIEL OLIVEIRA DE JESUS DE LIMA</t>
  </si>
  <si>
    <t>319</t>
  </si>
  <si>
    <t>VALDEIR SILVA BRANDÃO</t>
  </si>
  <si>
    <t>287</t>
  </si>
  <si>
    <t>RANIERE NEVES MELO</t>
  </si>
  <si>
    <t>190</t>
  </si>
  <si>
    <t>TIAGO JOSÉ DE SOUZA GOMES</t>
  </si>
  <si>
    <t>12</t>
  </si>
  <si>
    <t>TIAGO JOSÉ DE S</t>
  </si>
  <si>
    <t>174</t>
  </si>
  <si>
    <t>UBIRATAN SILVA DE SOUZA</t>
  </si>
  <si>
    <t>313</t>
  </si>
  <si>
    <t>JAILSON DOS SANTOS ALMEIDA</t>
  </si>
  <si>
    <t>271</t>
  </si>
  <si>
    <t>MARIA LILIAN SANTOS DE SANTANA</t>
  </si>
  <si>
    <t>78</t>
  </si>
  <si>
    <t>VANESSIA SANTOS BATISTA</t>
  </si>
  <si>
    <t>172</t>
  </si>
  <si>
    <t>JOSE CARLOS VIEIRA</t>
  </si>
  <si>
    <t>294</t>
  </si>
  <si>
    <t>KALINE PEREIRA BARBOSA</t>
  </si>
  <si>
    <t>321</t>
  </si>
  <si>
    <t>RODRIGO SILVA DE MENEZES</t>
  </si>
  <si>
    <t>299</t>
  </si>
  <si>
    <t>GIULIANO FERNANDES CESARINO</t>
  </si>
  <si>
    <t>312</t>
  </si>
  <si>
    <t>EDINALDO PEREIRA LIMA</t>
  </si>
  <si>
    <t>87</t>
  </si>
  <si>
    <t>LAYSA SILVA BASTOS</t>
  </si>
  <si>
    <t>21</t>
  </si>
  <si>
    <t>RÔMULO AMADO DA</t>
  </si>
  <si>
    <t>1001</t>
  </si>
  <si>
    <t>AMERICANAS</t>
  </si>
  <si>
    <t>8</t>
  </si>
  <si>
    <t>BALCAO</t>
  </si>
  <si>
    <t>GV</t>
  </si>
  <si>
    <t>GERAL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</si>
</sst>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26" x14ac:knownFonts="1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F172A"/>
      </patternFill>
    </fill>
    <fill>
      <patternFill patternType="solid">
        <fgColor rgb="FF14B8A6"/>
      </patternFill>
    </fill>
    <fill>
      <patternFill patternType="solid">
        <fgColor rgb="FF14B8A6"/>
      </patternFill>
    </fill>
    <fill>
      <patternFill patternType="solid">
        <fgColor rgb="FFF97316"/>
      </patternFill>
    </fill>
    <fill>
      <patternFill patternType="solid">
        <fgColor rgb="FFF97316"/>
      </patternFill>
    </fill>
    <fill>
      <patternFill patternType="solid">
        <fgColor rgb="FFF59E0B"/>
      </patternFill>
    </fill>
    <fill>
      <patternFill patternType="solid">
        <fgColor rgb="FFF59E0B"/>
      </patternFill>
    </fill>
    <fill>
      <patternFill patternType="solid">
        <fgColor rgb="FF3B82F6"/>
      </patternFill>
    </fill>
    <fill>
      <patternFill patternType="solid">
        <fgColor rgb="FF3B82F6"/>
      </patternFill>
    </fill>
    <fill>
      <patternFill patternType="solid">
        <fgColor rgb="FFEC4899"/>
      </patternFill>
    </fill>
    <fill>
      <patternFill patternType="solid">
        <fgColor rgb="FF1E293B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1F5F9"/>
      </patternFill>
    </fill>
    <fill>
      <patternFill patternType="solid">
        <fgColor rgb="FFF1F5F9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FEF9C3"/>
      </patternFill>
    </fill>
    <fill>
      <patternFill patternType="solid">
        <fgColor rgb="FF334155"/>
      </patternFill>
    </fill>
    <fill>
      <patternFill patternType="solid">
        <fgColor rgb="FF334155"/>
      </patternFill>
    </fill>
    <fill>
      <patternFill patternType="solid">
        <fgColor rgb="FF334155"/>
      </patternFill>
    </fill>
    <fill>
      <patternFill patternType="solid">
        <fgColor rgb="FF334155"/>
      </patternFill>
    </fill>
    <fill>
      <patternFill patternType="solid">
        <fgColor rgb="FF334155"/>
      </patternFill>
    </fill>
    <fill>
      <patternFill patternType="solid">
        <fgColor rgb="FF334155"/>
      </patternFill>
    </fill>
    <fill>
      <patternFill patternType="solid">
        <fgColor rgb="FF0F172A"/>
      </patternFill>
    </fill>
    <fill>
      <patternFill patternType="solid">
        <fgColor rgb="FF0F172A"/>
      </patternFill>
    </fill>
    <fill>
      <patternFill patternType="solid">
        <fgColor rgb="FF0F172A"/>
      </patternFill>
    </fill>
    <fill>
      <patternFill patternType="solid">
        <fgColor rgb="FF0F172A"/>
      </patternFill>
    </fill>
    <fill>
      <patternFill patternType="solid">
        <fgColor rgb="FF0F172A"/>
      </patternFill>
    </fill>
    <fill>
      <patternFill patternType="solid">
        <fgColor rgb="FF0F172A"/>
      </patternFill>
    </fill>
  </fills>
  <borders count="29">
    <border>
      <left/>
      <right/>
      <top/>
      <bottom/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475569"/>
      </bottom>
      <diagonal/>
    </border>
    <border>
      <left/>
      <right/>
      <top/>
      <bottom style="thin">
        <color rgb="FF334155"/>
      </bottom>
      <diagonal/>
    </border>
    <border>
      <left/>
      <right/>
      <top/>
      <bottom style="thin">
        <color rgb="FF3341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3" fillId="14" borderId="13" xfId="0" applyFont="1" applyFill="1" applyBorder="1" applyAlignment="1">
      <alignment horizontal="center" vertical="center"/>
    </xf>
    <xf numFmtId="4" fontId="0" fillId="15" borderId="0" xfId="0" applyNumberFormat="1" applyFill="1"/>
    <xf numFmtId="4" fontId="0" fillId="16" borderId="0" xfId="0" applyNumberFormat="1" applyFill="1"/>
    <xf numFmtId="1" fontId="0" fillId="17" borderId="0" xfId="0" applyNumberFormat="1" applyFill="1"/>
    <xf numFmtId="4" fontId="0" fillId="18" borderId="14" xfId="0" applyNumberFormat="1" applyFill="1" applyBorder="1"/>
    <xf numFmtId="164" fontId="0" fillId="19" borderId="0" xfId="0" applyNumberFormat="1" applyFill="1"/>
    <xf numFmtId="164" fontId="0" fillId="20" borderId="15" xfId="0" applyNumberFormat="1" applyFill="1" applyBorder="1"/>
    <xf numFmtId="165" fontId="0" fillId="21" borderId="0" xfId="0" applyNumberFormat="1" applyFill="1"/>
    <xf numFmtId="1" fontId="0" fillId="22" borderId="16" xfId="0" applyNumberFormat="1" applyFill="1" applyBorder="1"/>
    <xf numFmtId="0" fontId="14" fillId="23" borderId="17" xfId="0" applyFont="1" applyFill="1" applyBorder="1"/>
    <xf numFmtId="0" fontId="15" fillId="24" borderId="18" xfId="0" applyFont="1" applyFill="1" applyBorder="1"/>
    <xf numFmtId="4" fontId="16" fillId="25" borderId="19" xfId="0" applyNumberFormat="1" applyFont="1" applyFill="1" applyBorder="1"/>
    <xf numFmtId="1" fontId="17" fillId="26" borderId="20" xfId="0" applyNumberFormat="1" applyFont="1" applyFill="1" applyBorder="1"/>
    <xf numFmtId="164" fontId="18" fillId="27" borderId="21" xfId="0" applyNumberFormat="1" applyFont="1" applyFill="1" applyBorder="1"/>
    <xf numFmtId="165" fontId="19" fillId="28" borderId="22" xfId="0" applyNumberFormat="1" applyFont="1" applyFill="1" applyBorder="1"/>
    <xf numFmtId="0" fontId="20" fillId="29" borderId="23" xfId="0" applyFont="1" applyFill="1" applyBorder="1"/>
    <xf numFmtId="0" fontId="21" fillId="30" borderId="24" xfId="0" applyFont="1" applyFill="1" applyBorder="1"/>
    <xf numFmtId="4" fontId="22" fillId="31" borderId="25" xfId="0" applyNumberFormat="1" applyFont="1" applyFill="1" applyBorder="1"/>
    <xf numFmtId="1" fontId="23" fillId="32" borderId="26" xfId="0" applyNumberFormat="1" applyFont="1" applyFill="1" applyBorder="1"/>
    <xf numFmtId="164" fontId="24" fillId="33" borderId="27" xfId="0" applyNumberFormat="1" applyFont="1" applyFill="1" applyBorder="1"/>
    <xf numFmtId="165" fontId="25" fillId="34" borderId="28" xfId="0" applyNumberFormat="1" applyFont="1" applyFill="1" applyBorder="1"/>
    <xf numFmtId="1" fontId="0" fillId="0" borderId="16" xfId="0" applyNumberFormat="1" applyBorder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4" fontId="0" fillId="22" borderId="16" xfId="0" applyNumberFormat="1" applyFill="1" applyBorder="1"/>
    <xf numFmtId="164" fontId="0" fillId="22" borderId="16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0"/>
  <sheetViews>
    <sheetView tabSelected="1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4.4" x14ac:dyDescent="0.3"/>
  <cols>
    <col min="1" max="1" width="10.77734375" customWidth="1"/>
    <col min="2" max="2" width="41.77734375" customWidth="1"/>
    <col min="3" max="50" width="12.77734375" customWidth="1"/>
  </cols>
  <sheetData>
    <row r="1" spans="1:51" x14ac:dyDescent="0.3">
      <c r="A1" s="23" t="s">
        <v>0</v>
      </c>
      <c r="B1" s="24" t="s">
        <v>1</v>
      </c>
      <c r="C1" s="26" t="s">
        <v>2</v>
      </c>
      <c r="D1" s="27" t="s">
        <v>3</v>
      </c>
      <c r="E1" s="27" t="s">
        <v>3</v>
      </c>
      <c r="F1" s="27" t="s">
        <v>3</v>
      </c>
      <c r="G1" s="24" t="s">
        <v>4</v>
      </c>
      <c r="H1" s="24" t="s">
        <v>3</v>
      </c>
      <c r="I1" s="24" t="s">
        <v>3</v>
      </c>
      <c r="J1" s="24" t="s">
        <v>3</v>
      </c>
      <c r="K1" s="24" t="s">
        <v>5</v>
      </c>
      <c r="L1" s="24" t="s">
        <v>3</v>
      </c>
      <c r="M1" s="24" t="s">
        <v>3</v>
      </c>
      <c r="N1" s="24" t="s">
        <v>3</v>
      </c>
      <c r="O1" s="24" t="s">
        <v>6</v>
      </c>
      <c r="P1" s="24" t="s">
        <v>3</v>
      </c>
      <c r="Q1" s="24" t="s">
        <v>3</v>
      </c>
      <c r="R1" s="24" t="s">
        <v>3</v>
      </c>
      <c r="S1" s="28" t="s">
        <v>7</v>
      </c>
      <c r="T1" s="29" t="s">
        <v>3</v>
      </c>
      <c r="U1" s="29" t="s">
        <v>3</v>
      </c>
      <c r="V1" s="26" t="s">
        <v>8</v>
      </c>
      <c r="W1" s="26" t="s">
        <v>3</v>
      </c>
      <c r="X1" s="26" t="s">
        <v>3</v>
      </c>
      <c r="Y1" s="30" t="s">
        <v>9</v>
      </c>
      <c r="Z1" s="31" t="s">
        <v>3</v>
      </c>
      <c r="AA1" s="31" t="s">
        <v>3</v>
      </c>
      <c r="AB1" s="31" t="s">
        <v>3</v>
      </c>
      <c r="AC1" s="24" t="s">
        <v>10</v>
      </c>
      <c r="AD1" s="24" t="s">
        <v>3</v>
      </c>
      <c r="AE1" s="24" t="s">
        <v>3</v>
      </c>
      <c r="AF1" s="24" t="s">
        <v>3</v>
      </c>
      <c r="AG1" s="24" t="s">
        <v>11</v>
      </c>
      <c r="AH1" s="24" t="s">
        <v>3</v>
      </c>
      <c r="AI1" s="24" t="s">
        <v>3</v>
      </c>
      <c r="AJ1" s="24" t="s">
        <v>3</v>
      </c>
      <c r="AK1" s="24" t="s">
        <v>12</v>
      </c>
      <c r="AL1" s="24" t="s">
        <v>3</v>
      </c>
      <c r="AM1" s="24" t="s">
        <v>3</v>
      </c>
      <c r="AN1" s="24" t="s">
        <v>3</v>
      </c>
      <c r="AO1" s="28" t="s">
        <v>13</v>
      </c>
      <c r="AP1" s="28" t="s">
        <v>3</v>
      </c>
      <c r="AQ1" s="28" t="s">
        <v>3</v>
      </c>
      <c r="AR1" s="30" t="s">
        <v>14</v>
      </c>
      <c r="AS1" s="30" t="s">
        <v>3</v>
      </c>
      <c r="AT1" s="30" t="s">
        <v>3</v>
      </c>
      <c r="AU1" s="32" t="s">
        <v>15</v>
      </c>
      <c r="AV1" s="33" t="s">
        <v>3</v>
      </c>
      <c r="AW1" s="33" t="s">
        <v>3</v>
      </c>
      <c r="AX1" s="33" t="s">
        <v>3</v>
      </c>
      <c r="AY1" s="34" t="s">
        <v>16</v>
      </c>
    </row>
    <row r="2" spans="1:51" x14ac:dyDescent="0.3">
      <c r="A2" s="24" t="s">
        <v>3</v>
      </c>
      <c r="B2" s="24" t="s">
        <v>3</v>
      </c>
      <c r="C2" s="35" t="s">
        <v>17</v>
      </c>
      <c r="D2" s="25" t="s">
        <v>3</v>
      </c>
      <c r="E2" s="25" t="s">
        <v>18</v>
      </c>
      <c r="F2" s="25" t="s">
        <v>3</v>
      </c>
      <c r="G2" s="25" t="s">
        <v>17</v>
      </c>
      <c r="H2" s="25" t="s">
        <v>3</v>
      </c>
      <c r="I2" s="25" t="s">
        <v>18</v>
      </c>
      <c r="J2" s="25" t="s">
        <v>3</v>
      </c>
      <c r="K2" s="25" t="s">
        <v>17</v>
      </c>
      <c r="L2" s="25" t="s">
        <v>3</v>
      </c>
      <c r="M2" s="25" t="s">
        <v>18</v>
      </c>
      <c r="N2" s="25" t="s">
        <v>3</v>
      </c>
      <c r="O2" s="25" t="s">
        <v>17</v>
      </c>
      <c r="P2" s="25" t="s">
        <v>3</v>
      </c>
      <c r="Q2" s="25" t="s">
        <v>18</v>
      </c>
      <c r="R2" s="25" t="s">
        <v>3</v>
      </c>
      <c r="S2" s="1" t="s">
        <v>19</v>
      </c>
      <c r="T2" s="25" t="s">
        <v>20</v>
      </c>
      <c r="U2" s="25" t="s">
        <v>3</v>
      </c>
      <c r="V2" s="1" t="s">
        <v>19</v>
      </c>
      <c r="W2" s="25" t="s">
        <v>21</v>
      </c>
      <c r="X2" s="25" t="s">
        <v>3</v>
      </c>
      <c r="Y2" s="25" t="s">
        <v>17</v>
      </c>
      <c r="Z2" s="25" t="s">
        <v>3</v>
      </c>
      <c r="AA2" s="25" t="s">
        <v>18</v>
      </c>
      <c r="AB2" s="25" t="s">
        <v>3</v>
      </c>
      <c r="AC2" s="25" t="s">
        <v>17</v>
      </c>
      <c r="AD2" s="25" t="s">
        <v>3</v>
      </c>
      <c r="AE2" s="25" t="s">
        <v>18</v>
      </c>
      <c r="AF2" s="25" t="s">
        <v>3</v>
      </c>
      <c r="AG2" s="25" t="s">
        <v>17</v>
      </c>
      <c r="AH2" s="25" t="s">
        <v>3</v>
      </c>
      <c r="AI2" s="25" t="s">
        <v>18</v>
      </c>
      <c r="AJ2" s="25" t="s">
        <v>3</v>
      </c>
      <c r="AK2" s="25" t="s">
        <v>17</v>
      </c>
      <c r="AL2" s="25" t="s">
        <v>3</v>
      </c>
      <c r="AM2" s="25" t="s">
        <v>18</v>
      </c>
      <c r="AN2" s="25" t="s">
        <v>3</v>
      </c>
      <c r="AO2" s="1" t="s">
        <v>19</v>
      </c>
      <c r="AP2" s="25" t="s">
        <v>20</v>
      </c>
      <c r="AQ2" s="25" t="s">
        <v>3</v>
      </c>
      <c r="AR2" s="1" t="s">
        <v>19</v>
      </c>
      <c r="AS2" s="25" t="s">
        <v>21</v>
      </c>
      <c r="AT2" s="25" t="s">
        <v>3</v>
      </c>
      <c r="AU2" s="25" t="s">
        <v>17</v>
      </c>
      <c r="AV2" s="25" t="s">
        <v>3</v>
      </c>
      <c r="AW2" s="1" t="s">
        <v>22</v>
      </c>
      <c r="AX2" s="1" t="s">
        <v>18</v>
      </c>
      <c r="AY2" s="1" t="s">
        <v>23</v>
      </c>
    </row>
    <row r="3" spans="1:51" x14ac:dyDescent="0.3">
      <c r="A3" s="25" t="s">
        <v>3</v>
      </c>
      <c r="B3" s="25" t="s">
        <v>3</v>
      </c>
      <c r="C3" s="1" t="s">
        <v>24</v>
      </c>
      <c r="D3" s="1" t="s">
        <v>25</v>
      </c>
      <c r="E3" s="1" t="s">
        <v>24</v>
      </c>
      <c r="F3" s="1" t="s">
        <v>25</v>
      </c>
      <c r="G3" s="1" t="s">
        <v>24</v>
      </c>
      <c r="H3" s="1" t="s">
        <v>25</v>
      </c>
      <c r="I3" s="1" t="s">
        <v>24</v>
      </c>
      <c r="J3" s="1" t="s">
        <v>25</v>
      </c>
      <c r="K3" s="1" t="s">
        <v>24</v>
      </c>
      <c r="L3" s="1" t="s">
        <v>25</v>
      </c>
      <c r="M3" s="1" t="s">
        <v>24</v>
      </c>
      <c r="N3" s="1" t="s">
        <v>25</v>
      </c>
      <c r="O3" s="1" t="s">
        <v>24</v>
      </c>
      <c r="P3" s="1" t="s">
        <v>25</v>
      </c>
      <c r="Q3" s="1" t="s">
        <v>24</v>
      </c>
      <c r="R3" s="1" t="s">
        <v>25</v>
      </c>
      <c r="S3" s="1" t="s">
        <v>26</v>
      </c>
      <c r="T3" s="1" t="s">
        <v>26</v>
      </c>
      <c r="U3" s="1" t="s">
        <v>25</v>
      </c>
      <c r="V3" s="1" t="s">
        <v>27</v>
      </c>
      <c r="W3" s="1" t="s">
        <v>24</v>
      </c>
      <c r="X3" s="1" t="s">
        <v>25</v>
      </c>
      <c r="Y3" s="1" t="s">
        <v>24</v>
      </c>
      <c r="Z3" s="1" t="s">
        <v>25</v>
      </c>
      <c r="AA3" s="1" t="s">
        <v>24</v>
      </c>
      <c r="AB3" s="1" t="s">
        <v>25</v>
      </c>
      <c r="AC3" s="1" t="s">
        <v>24</v>
      </c>
      <c r="AD3" s="1" t="s">
        <v>25</v>
      </c>
      <c r="AE3" s="1" t="s">
        <v>24</v>
      </c>
      <c r="AF3" s="1" t="s">
        <v>25</v>
      </c>
      <c r="AG3" s="1" t="s">
        <v>24</v>
      </c>
      <c r="AH3" s="1" t="s">
        <v>25</v>
      </c>
      <c r="AI3" s="1" t="s">
        <v>24</v>
      </c>
      <c r="AJ3" s="1" t="s">
        <v>25</v>
      </c>
      <c r="AK3" s="1" t="s">
        <v>24</v>
      </c>
      <c r="AL3" s="1" t="s">
        <v>25</v>
      </c>
      <c r="AM3" s="1" t="s">
        <v>24</v>
      </c>
      <c r="AN3" s="1" t="s">
        <v>25</v>
      </c>
      <c r="AO3" s="1" t="s">
        <v>26</v>
      </c>
      <c r="AP3" s="1" t="s">
        <v>26</v>
      </c>
      <c r="AQ3" s="1" t="s">
        <v>25</v>
      </c>
      <c r="AR3" s="1" t="s">
        <v>27</v>
      </c>
      <c r="AS3" s="1" t="s">
        <v>24</v>
      </c>
      <c r="AT3" s="1" t="s">
        <v>25</v>
      </c>
      <c r="AU3" s="1" t="s">
        <v>28</v>
      </c>
      <c r="AV3" s="1" t="s">
        <v>24</v>
      </c>
      <c r="AW3" s="1" t="s">
        <v>24</v>
      </c>
      <c r="AX3" s="1" t="s">
        <v>24</v>
      </c>
      <c r="AY3" s="1" t="s">
        <v>3</v>
      </c>
    </row>
    <row r="4" spans="1:51" x14ac:dyDescent="0.3">
      <c r="A4" t="s">
        <v>29</v>
      </c>
      <c r="B4" t="s">
        <v>30</v>
      </c>
      <c r="C4" s="2">
        <v>158405.49134223163</v>
      </c>
      <c r="D4" s="3">
        <f t="shared" ref="D4:D15" si="0">H4+L4+P4</f>
        <v>146700</v>
      </c>
      <c r="E4" s="4">
        <v>103</v>
      </c>
      <c r="F4" s="9">
        <v>100</v>
      </c>
      <c r="G4" s="3">
        <v>56643.018841318924</v>
      </c>
      <c r="H4" s="36">
        <v>55000</v>
      </c>
      <c r="I4" s="4">
        <v>100</v>
      </c>
      <c r="J4" s="4">
        <v>100</v>
      </c>
      <c r="K4" s="3">
        <v>91325.001824773863</v>
      </c>
      <c r="L4" s="36">
        <v>83500</v>
      </c>
      <c r="M4" s="4">
        <v>103</v>
      </c>
      <c r="N4" s="4">
        <v>103</v>
      </c>
      <c r="O4" s="3">
        <v>10437.470676138862</v>
      </c>
      <c r="P4" s="36">
        <v>8200</v>
      </c>
      <c r="Q4" s="4">
        <v>98</v>
      </c>
      <c r="R4" s="4">
        <v>98</v>
      </c>
      <c r="S4" s="6">
        <v>1976.9303333333335</v>
      </c>
      <c r="T4" s="6">
        <v>2430.8436337058797</v>
      </c>
      <c r="U4" s="37">
        <v>2000</v>
      </c>
      <c r="V4" s="8">
        <v>95.666666666666671</v>
      </c>
      <c r="W4" s="4">
        <v>101</v>
      </c>
      <c r="X4" s="9">
        <v>70</v>
      </c>
      <c r="Y4" s="3">
        <v>28735.729243067355</v>
      </c>
      <c r="Z4" s="3">
        <f t="shared" ref="Z4:Z15" si="1">AD4+AH4+AL4</f>
        <v>28735.729243067355</v>
      </c>
      <c r="AA4" s="4">
        <v>56</v>
      </c>
      <c r="AB4" s="9">
        <v>56</v>
      </c>
      <c r="AC4" s="3">
        <v>17319.457795585426</v>
      </c>
      <c r="AD4" s="5">
        <v>17319.457795585426</v>
      </c>
      <c r="AE4" s="4">
        <v>52</v>
      </c>
      <c r="AF4" s="4">
        <v>52</v>
      </c>
      <c r="AG4" s="3">
        <v>6227.1748565633961</v>
      </c>
      <c r="AH4" s="5">
        <v>6227.1748565633961</v>
      </c>
      <c r="AI4" s="4">
        <v>22</v>
      </c>
      <c r="AJ4" s="4">
        <v>22</v>
      </c>
      <c r="AK4" s="3">
        <v>5189.0965909185306</v>
      </c>
      <c r="AL4" s="5">
        <v>5189.0965909185306</v>
      </c>
      <c r="AM4" s="4">
        <v>28</v>
      </c>
      <c r="AN4" s="4">
        <v>28</v>
      </c>
      <c r="AO4" s="6">
        <v>1601.88</v>
      </c>
      <c r="AP4" s="6">
        <v>2308.8891181247932</v>
      </c>
      <c r="AQ4" s="7">
        <v>2308.8891181247932</v>
      </c>
      <c r="AR4" s="8">
        <v>9.6666666666666661</v>
      </c>
      <c r="AS4" s="4">
        <v>21</v>
      </c>
      <c r="AT4" s="9">
        <v>12</v>
      </c>
      <c r="AU4" s="3">
        <v>150710.77000000005</v>
      </c>
      <c r="AV4" s="3">
        <f t="shared" ref="AV4:AV15" si="2">D4+Z4</f>
        <v>175435.72924306736</v>
      </c>
      <c r="AW4" s="6">
        <f t="shared" ref="AW4:AW15" si="3">U4+AQ4</f>
        <v>4308.8891181247927</v>
      </c>
      <c r="AX4" s="22">
        <v>135</v>
      </c>
      <c r="AY4" s="4">
        <f t="shared" ref="AY4:AY29" si="4">ROUND(F4*0.9, 0)</f>
        <v>90</v>
      </c>
    </row>
    <row r="5" spans="1:51" x14ac:dyDescent="0.3">
      <c r="A5" t="s">
        <v>31</v>
      </c>
      <c r="B5" t="s">
        <v>32</v>
      </c>
      <c r="C5" s="3">
        <v>152145.72269628485</v>
      </c>
      <c r="D5" s="3">
        <f t="shared" si="0"/>
        <v>151501.92638716003</v>
      </c>
      <c r="E5" s="4">
        <v>81</v>
      </c>
      <c r="F5" s="9">
        <v>83</v>
      </c>
      <c r="G5" s="3">
        <v>59023.11569703112</v>
      </c>
      <c r="H5" s="36">
        <v>58100</v>
      </c>
      <c r="I5" s="4">
        <v>80</v>
      </c>
      <c r="J5" s="4">
        <v>80</v>
      </c>
      <c r="K5" s="3">
        <v>88401.926387160012</v>
      </c>
      <c r="L5" s="36">
        <v>88401.926387160012</v>
      </c>
      <c r="M5" s="4">
        <v>81</v>
      </c>
      <c r="N5" s="4">
        <v>81</v>
      </c>
      <c r="O5" s="3">
        <v>4720.6806120937126</v>
      </c>
      <c r="P5" s="36">
        <v>5000</v>
      </c>
      <c r="Q5" s="4">
        <v>76</v>
      </c>
      <c r="R5" s="4">
        <v>76</v>
      </c>
      <c r="S5" s="6">
        <v>1573.7286666666669</v>
      </c>
      <c r="T5" s="6">
        <v>1945.6728889877947</v>
      </c>
      <c r="U5" s="37">
        <v>2000</v>
      </c>
      <c r="V5" s="8">
        <v>57.666666666666664</v>
      </c>
      <c r="W5" s="4">
        <v>59</v>
      </c>
      <c r="X5" s="9">
        <v>70</v>
      </c>
      <c r="Y5" s="3">
        <v>24169.563960252799</v>
      </c>
      <c r="Z5" s="3">
        <f t="shared" si="1"/>
        <v>24169.563960252799</v>
      </c>
      <c r="AA5" s="4">
        <v>43</v>
      </c>
      <c r="AB5" s="9">
        <v>43</v>
      </c>
      <c r="AC5" s="3">
        <v>17310.574317297764</v>
      </c>
      <c r="AD5" s="5">
        <v>17310.574317297764</v>
      </c>
      <c r="AE5" s="4">
        <v>39</v>
      </c>
      <c r="AF5" s="4">
        <v>39</v>
      </c>
      <c r="AG5" s="3">
        <v>2799.9056889991443</v>
      </c>
      <c r="AH5" s="5">
        <v>2799.9056889991443</v>
      </c>
      <c r="AI5" s="4">
        <v>18</v>
      </c>
      <c r="AJ5" s="4">
        <v>18</v>
      </c>
      <c r="AK5" s="3">
        <v>4059.083953955891</v>
      </c>
      <c r="AL5" s="5">
        <v>4059.083953955891</v>
      </c>
      <c r="AM5" s="4">
        <v>21</v>
      </c>
      <c r="AN5" s="4">
        <v>21</v>
      </c>
      <c r="AO5" s="6">
        <v>1498.7666666666657</v>
      </c>
      <c r="AP5" s="6">
        <v>2124.547513729708</v>
      </c>
      <c r="AQ5" s="7">
        <v>2124.547513729708</v>
      </c>
      <c r="AR5" s="8">
        <v>6.333333333333333</v>
      </c>
      <c r="AS5" s="4">
        <v>14</v>
      </c>
      <c r="AT5" s="9">
        <v>12</v>
      </c>
      <c r="AU5" s="3">
        <v>142320.90333333332</v>
      </c>
      <c r="AV5" s="3">
        <f t="shared" si="2"/>
        <v>175671.49034741282</v>
      </c>
      <c r="AW5" s="6">
        <f t="shared" si="3"/>
        <v>4124.547513729708</v>
      </c>
      <c r="AX5" s="22">
        <v>107</v>
      </c>
      <c r="AY5" s="4">
        <f t="shared" si="4"/>
        <v>75</v>
      </c>
    </row>
    <row r="6" spans="1:51" x14ac:dyDescent="0.3">
      <c r="A6" t="s">
        <v>33</v>
      </c>
      <c r="B6" t="s">
        <v>34</v>
      </c>
      <c r="C6" s="3">
        <v>148029.3544896291</v>
      </c>
      <c r="D6" s="3">
        <f t="shared" si="0"/>
        <v>148605.39502348853</v>
      </c>
      <c r="E6" s="4">
        <v>90</v>
      </c>
      <c r="F6" s="9">
        <v>90</v>
      </c>
      <c r="G6" s="3">
        <v>54686.287633389955</v>
      </c>
      <c r="H6" s="36">
        <v>54686.287633389955</v>
      </c>
      <c r="I6" s="4">
        <v>88</v>
      </c>
      <c r="J6" s="4">
        <v>88</v>
      </c>
      <c r="K6" s="3">
        <v>87283.959466140586</v>
      </c>
      <c r="L6" s="36">
        <v>87860</v>
      </c>
      <c r="M6" s="4">
        <v>88</v>
      </c>
      <c r="N6" s="4">
        <v>88</v>
      </c>
      <c r="O6" s="3">
        <v>6059.1073900985512</v>
      </c>
      <c r="P6" s="36">
        <v>6059.1073900985512</v>
      </c>
      <c r="Q6" s="4">
        <v>69</v>
      </c>
      <c r="R6" s="4">
        <v>69</v>
      </c>
      <c r="S6" s="6">
        <v>1444.5343333333333</v>
      </c>
      <c r="T6" s="6">
        <v>1780.2225609248974</v>
      </c>
      <c r="U6" s="37">
        <v>1900</v>
      </c>
      <c r="V6" s="8">
        <v>38</v>
      </c>
      <c r="W6" s="4">
        <v>41</v>
      </c>
      <c r="X6" s="9">
        <v>50</v>
      </c>
      <c r="Y6" s="3">
        <v>36423.464379618548</v>
      </c>
      <c r="Z6" s="3">
        <f t="shared" si="1"/>
        <v>36423.464379618548</v>
      </c>
      <c r="AA6" s="4">
        <v>49</v>
      </c>
      <c r="AB6" s="9">
        <v>49</v>
      </c>
      <c r="AC6" s="3">
        <v>19945.342797202597</v>
      </c>
      <c r="AD6" s="5">
        <v>19945.342797202597</v>
      </c>
      <c r="AE6" s="4">
        <v>42</v>
      </c>
      <c r="AF6" s="4">
        <v>42</v>
      </c>
      <c r="AG6" s="3">
        <v>9214.9363521515806</v>
      </c>
      <c r="AH6" s="5">
        <v>9214.9363521515806</v>
      </c>
      <c r="AI6" s="4">
        <v>23</v>
      </c>
      <c r="AJ6" s="4">
        <v>23</v>
      </c>
      <c r="AK6" s="3">
        <v>7263.185230264372</v>
      </c>
      <c r="AL6" s="5">
        <v>7263.185230264372</v>
      </c>
      <c r="AM6" s="4">
        <v>31</v>
      </c>
      <c r="AN6" s="4">
        <v>31</v>
      </c>
      <c r="AO6" s="6">
        <v>1937.2693333333334</v>
      </c>
      <c r="AP6" s="6">
        <v>2802.2399456064782</v>
      </c>
      <c r="AQ6" s="7">
        <v>2802.2399456064782</v>
      </c>
      <c r="AR6" s="8">
        <v>8</v>
      </c>
      <c r="AS6" s="4">
        <v>17</v>
      </c>
      <c r="AT6" s="9">
        <v>12</v>
      </c>
      <c r="AU6" s="3">
        <v>147135.95766666671</v>
      </c>
      <c r="AV6" s="3">
        <f t="shared" si="2"/>
        <v>185028.85940310708</v>
      </c>
      <c r="AW6" s="6">
        <f t="shared" si="3"/>
        <v>4702.2399456064777</v>
      </c>
      <c r="AX6" s="22">
        <v>119</v>
      </c>
      <c r="AY6" s="4">
        <f t="shared" si="4"/>
        <v>81</v>
      </c>
    </row>
    <row r="7" spans="1:51" x14ac:dyDescent="0.3">
      <c r="A7" t="s">
        <v>35</v>
      </c>
      <c r="B7" t="s">
        <v>36</v>
      </c>
      <c r="C7" s="3">
        <v>118045.54789932899</v>
      </c>
      <c r="D7" s="3">
        <f t="shared" si="0"/>
        <v>122016.94848778119</v>
      </c>
      <c r="E7" s="4">
        <v>92</v>
      </c>
      <c r="F7" s="9">
        <v>92</v>
      </c>
      <c r="G7" s="3">
        <v>51516.948487781185</v>
      </c>
      <c r="H7" s="36">
        <v>51516.948487781185</v>
      </c>
      <c r="I7" s="4">
        <v>92</v>
      </c>
      <c r="J7" s="4">
        <v>92</v>
      </c>
      <c r="K7" s="3">
        <v>62493.117328353692</v>
      </c>
      <c r="L7" s="36">
        <v>65500</v>
      </c>
      <c r="M7" s="4">
        <v>92</v>
      </c>
      <c r="N7" s="4">
        <v>92</v>
      </c>
      <c r="O7" s="3">
        <v>4035.4820831940965</v>
      </c>
      <c r="P7" s="36">
        <v>5000</v>
      </c>
      <c r="Q7" s="4">
        <v>84</v>
      </c>
      <c r="R7" s="4">
        <v>84</v>
      </c>
      <c r="S7" s="6">
        <v>1108.6716666666666</v>
      </c>
      <c r="T7" s="6">
        <v>1372.3045213212852</v>
      </c>
      <c r="U7" s="37">
        <v>1500</v>
      </c>
      <c r="V7" s="8">
        <v>73</v>
      </c>
      <c r="W7" s="4">
        <v>77</v>
      </c>
      <c r="X7" s="9">
        <v>77</v>
      </c>
      <c r="Y7" s="3">
        <v>24239.674204553801</v>
      </c>
      <c r="Z7" s="3">
        <f t="shared" si="1"/>
        <v>24239.674204553801</v>
      </c>
      <c r="AA7" s="4">
        <v>40</v>
      </c>
      <c r="AB7" s="9">
        <v>40</v>
      </c>
      <c r="AC7" s="3">
        <v>9352.7853744080621</v>
      </c>
      <c r="AD7" s="5">
        <v>9352.7853744080621</v>
      </c>
      <c r="AE7" s="4">
        <v>35</v>
      </c>
      <c r="AF7" s="4">
        <v>35</v>
      </c>
      <c r="AG7" s="3">
        <v>4501.5532404305377</v>
      </c>
      <c r="AH7" s="5">
        <v>4501.5532404305377</v>
      </c>
      <c r="AI7" s="4">
        <v>13</v>
      </c>
      <c r="AJ7" s="4">
        <v>13</v>
      </c>
      <c r="AK7" s="3">
        <v>10385.335589715201</v>
      </c>
      <c r="AL7" s="5">
        <v>10385.335589715201</v>
      </c>
      <c r="AM7" s="4">
        <v>29</v>
      </c>
      <c r="AN7" s="4">
        <v>29</v>
      </c>
      <c r="AO7" s="6">
        <v>1118.8200000000002</v>
      </c>
      <c r="AP7" s="6">
        <v>1613.1059724171903</v>
      </c>
      <c r="AQ7" s="7">
        <v>1613.1059724171903</v>
      </c>
      <c r="AR7" s="8">
        <v>10.333333333333334</v>
      </c>
      <c r="AS7" s="4">
        <v>23</v>
      </c>
      <c r="AT7" s="9">
        <v>12</v>
      </c>
      <c r="AU7" s="3">
        <v>114057.63666666669</v>
      </c>
      <c r="AV7" s="3">
        <f t="shared" si="2"/>
        <v>146256.62269233499</v>
      </c>
      <c r="AW7" s="6">
        <f t="shared" si="3"/>
        <v>3113.1059724171901</v>
      </c>
      <c r="AX7" s="22">
        <v>119</v>
      </c>
      <c r="AY7" s="4">
        <f t="shared" si="4"/>
        <v>83</v>
      </c>
    </row>
    <row r="8" spans="1:51" x14ac:dyDescent="0.3">
      <c r="A8" t="s">
        <v>37</v>
      </c>
      <c r="B8" t="s">
        <v>38</v>
      </c>
      <c r="C8" s="3">
        <v>110098.97348425409</v>
      </c>
      <c r="D8" s="3">
        <f t="shared" si="0"/>
        <v>112184.90935372337</v>
      </c>
      <c r="E8" s="4">
        <v>112</v>
      </c>
      <c r="F8" s="9">
        <v>112</v>
      </c>
      <c r="G8" s="3">
        <v>42684.909353723371</v>
      </c>
      <c r="H8" s="36">
        <v>42684.909353723371</v>
      </c>
      <c r="I8" s="4">
        <v>110</v>
      </c>
      <c r="J8" s="4">
        <v>110</v>
      </c>
      <c r="K8" s="3">
        <v>65048.900184572463</v>
      </c>
      <c r="L8" s="36">
        <v>66500</v>
      </c>
      <c r="M8" s="4">
        <v>111</v>
      </c>
      <c r="N8" s="4">
        <v>111</v>
      </c>
      <c r="O8" s="3">
        <v>2365.1639459582439</v>
      </c>
      <c r="P8" s="36">
        <v>3000</v>
      </c>
      <c r="Q8" s="4">
        <v>97</v>
      </c>
      <c r="R8" s="4">
        <v>97</v>
      </c>
      <c r="S8" s="6">
        <v>1036.5726666666667</v>
      </c>
      <c r="T8" s="6">
        <v>1284.909827892945</v>
      </c>
      <c r="U8" s="37">
        <v>1500</v>
      </c>
      <c r="V8" s="8">
        <v>60</v>
      </c>
      <c r="W8" s="4">
        <v>62</v>
      </c>
      <c r="X8" s="9">
        <v>70</v>
      </c>
      <c r="Y8" s="3">
        <v>15286.866012052849</v>
      </c>
      <c r="Z8" s="3">
        <f t="shared" si="1"/>
        <v>15286.866012052849</v>
      </c>
      <c r="AA8" s="4">
        <v>41</v>
      </c>
      <c r="AB8" s="9">
        <v>41</v>
      </c>
      <c r="AC8" s="3">
        <v>8704.0245335982036</v>
      </c>
      <c r="AD8" s="5">
        <v>8704.0245335982036</v>
      </c>
      <c r="AE8" s="4">
        <v>30</v>
      </c>
      <c r="AF8" s="4">
        <v>30</v>
      </c>
      <c r="AG8" s="3">
        <v>2569.852383659394</v>
      </c>
      <c r="AH8" s="5">
        <v>2569.852383659394</v>
      </c>
      <c r="AI8" s="4">
        <v>12</v>
      </c>
      <c r="AJ8" s="4">
        <v>12</v>
      </c>
      <c r="AK8" s="3">
        <v>4012.9890947952522</v>
      </c>
      <c r="AL8" s="5">
        <v>4012.9890947952522</v>
      </c>
      <c r="AM8" s="4">
        <v>19</v>
      </c>
      <c r="AN8" s="4">
        <v>19</v>
      </c>
      <c r="AO8" s="6">
        <v>834.55866666666645</v>
      </c>
      <c r="AP8" s="6">
        <v>1194.8677420038155</v>
      </c>
      <c r="AQ8" s="7">
        <v>1194.8677420038155</v>
      </c>
      <c r="AR8" s="8">
        <v>0.66666666666666663</v>
      </c>
      <c r="AS8" s="4">
        <v>1</v>
      </c>
      <c r="AT8" s="9">
        <v>12</v>
      </c>
      <c r="AU8" s="3">
        <v>101355.59999999999</v>
      </c>
      <c r="AV8" s="3">
        <f t="shared" si="2"/>
        <v>127471.77536577622</v>
      </c>
      <c r="AW8" s="6">
        <f t="shared" si="3"/>
        <v>2694.8677420038157</v>
      </c>
      <c r="AX8" s="22">
        <v>145</v>
      </c>
      <c r="AY8" s="4">
        <f t="shared" si="4"/>
        <v>101</v>
      </c>
    </row>
    <row r="9" spans="1:51" x14ac:dyDescent="0.3">
      <c r="A9" t="s">
        <v>39</v>
      </c>
      <c r="B9" t="s">
        <v>40</v>
      </c>
      <c r="C9" s="3">
        <v>105821.54698298789</v>
      </c>
      <c r="D9" s="3">
        <f t="shared" si="0"/>
        <v>105821.54698298789</v>
      </c>
      <c r="E9" s="4">
        <v>77</v>
      </c>
      <c r="F9" s="9">
        <v>78</v>
      </c>
      <c r="G9" s="3">
        <v>46412.549369359906</v>
      </c>
      <c r="H9" s="36">
        <v>46412.549369359906</v>
      </c>
      <c r="I9" s="4">
        <v>77</v>
      </c>
      <c r="J9" s="4">
        <v>77</v>
      </c>
      <c r="K9" s="3">
        <v>53536.811544453449</v>
      </c>
      <c r="L9" s="36">
        <v>53536.811544453449</v>
      </c>
      <c r="M9" s="4">
        <v>76</v>
      </c>
      <c r="N9" s="4">
        <v>76</v>
      </c>
      <c r="O9" s="3">
        <v>5872.1860691745378</v>
      </c>
      <c r="P9" s="36">
        <v>5872.1860691745378</v>
      </c>
      <c r="Q9" s="4">
        <v>76</v>
      </c>
      <c r="R9" s="4">
        <v>76</v>
      </c>
      <c r="S9" s="6">
        <v>1042.1546666666666</v>
      </c>
      <c r="T9" s="6">
        <v>1283.7109428677418</v>
      </c>
      <c r="U9" s="37">
        <v>1283.7109428677418</v>
      </c>
      <c r="V9" s="8">
        <v>81.666666666666671</v>
      </c>
      <c r="W9" s="4">
        <v>85</v>
      </c>
      <c r="X9" s="9">
        <v>84</v>
      </c>
      <c r="Y9" s="3">
        <v>25626.296972013872</v>
      </c>
      <c r="Z9" s="3">
        <f t="shared" si="1"/>
        <v>25626.296972013872</v>
      </c>
      <c r="AA9" s="4">
        <v>52</v>
      </c>
      <c r="AB9" s="9">
        <v>52</v>
      </c>
      <c r="AC9" s="3">
        <v>12684.956070438489</v>
      </c>
      <c r="AD9" s="5">
        <v>12684.956070438489</v>
      </c>
      <c r="AE9" s="4">
        <v>50</v>
      </c>
      <c r="AF9" s="4">
        <v>50</v>
      </c>
      <c r="AG9" s="3">
        <v>5270.2508221443195</v>
      </c>
      <c r="AH9" s="5">
        <v>5270.2508221443195</v>
      </c>
      <c r="AI9" s="4">
        <v>22</v>
      </c>
      <c r="AJ9" s="4">
        <v>22</v>
      </c>
      <c r="AK9" s="3">
        <v>7671.0900794310637</v>
      </c>
      <c r="AL9" s="5">
        <v>7671.0900794310637</v>
      </c>
      <c r="AM9" s="4">
        <v>31</v>
      </c>
      <c r="AN9" s="4">
        <v>31</v>
      </c>
      <c r="AO9" s="6">
        <v>1276.0773333333336</v>
      </c>
      <c r="AP9" s="6">
        <v>1839.8433941271117</v>
      </c>
      <c r="AQ9" s="7">
        <v>1839.8433941271117</v>
      </c>
      <c r="AR9" s="8">
        <v>9</v>
      </c>
      <c r="AS9" s="4">
        <v>20</v>
      </c>
      <c r="AT9" s="9">
        <v>12</v>
      </c>
      <c r="AU9" s="3">
        <v>104889.51333333331</v>
      </c>
      <c r="AV9" s="3">
        <f t="shared" si="2"/>
        <v>131447.84395500176</v>
      </c>
      <c r="AW9" s="6">
        <f t="shared" si="3"/>
        <v>3123.5543369948537</v>
      </c>
      <c r="AX9" s="22">
        <v>100</v>
      </c>
      <c r="AY9" s="4">
        <f t="shared" si="4"/>
        <v>70</v>
      </c>
    </row>
    <row r="10" spans="1:51" x14ac:dyDescent="0.3">
      <c r="A10" t="s">
        <v>41</v>
      </c>
      <c r="B10" t="s">
        <v>42</v>
      </c>
      <c r="C10" s="3">
        <v>96255.141906298304</v>
      </c>
      <c r="D10" s="3">
        <f t="shared" si="0"/>
        <v>96540.960461750597</v>
      </c>
      <c r="E10" s="4">
        <v>80</v>
      </c>
      <c r="F10" s="9">
        <v>80</v>
      </c>
      <c r="G10" s="3">
        <v>36052.541433784208</v>
      </c>
      <c r="H10" s="36">
        <v>36052.541433784208</v>
      </c>
      <c r="I10" s="4">
        <v>78</v>
      </c>
      <c r="J10" s="4">
        <v>78</v>
      </c>
      <c r="K10" s="3">
        <v>56288.419027966389</v>
      </c>
      <c r="L10" s="36">
        <v>56288.419027966389</v>
      </c>
      <c r="M10" s="4">
        <v>80</v>
      </c>
      <c r="N10" s="4">
        <v>80</v>
      </c>
      <c r="O10" s="3">
        <v>3914.1814445476998</v>
      </c>
      <c r="P10" s="36">
        <v>4200</v>
      </c>
      <c r="Q10" s="4">
        <v>77</v>
      </c>
      <c r="R10" s="4">
        <v>77</v>
      </c>
      <c r="S10" s="6">
        <v>968.86666666666667</v>
      </c>
      <c r="T10" s="6">
        <v>1194.3067227563583</v>
      </c>
      <c r="U10" s="37">
        <v>1194.3067227563583</v>
      </c>
      <c r="V10" s="8">
        <v>57.666666666666664</v>
      </c>
      <c r="W10" s="4">
        <v>59</v>
      </c>
      <c r="X10" s="9">
        <v>63</v>
      </c>
      <c r="Y10" s="3">
        <v>26441.865869179506</v>
      </c>
      <c r="Z10" s="3">
        <f t="shared" si="1"/>
        <v>26441.865869179506</v>
      </c>
      <c r="AA10" s="4">
        <v>37</v>
      </c>
      <c r="AB10" s="9">
        <v>37</v>
      </c>
      <c r="AC10" s="3">
        <v>14410.032022560023</v>
      </c>
      <c r="AD10" s="5">
        <v>14410.032022560023</v>
      </c>
      <c r="AE10" s="4">
        <v>36</v>
      </c>
      <c r="AF10" s="4">
        <v>36</v>
      </c>
      <c r="AG10" s="3">
        <v>7442.8660386315632</v>
      </c>
      <c r="AH10" s="5">
        <v>7442.8660386315632</v>
      </c>
      <c r="AI10" s="4">
        <v>15</v>
      </c>
      <c r="AJ10" s="4">
        <v>15</v>
      </c>
      <c r="AK10" s="3">
        <v>4588.9678079879204</v>
      </c>
      <c r="AL10" s="5">
        <v>4588.9678079879204</v>
      </c>
      <c r="AM10" s="4">
        <v>18</v>
      </c>
      <c r="AN10" s="4">
        <v>18</v>
      </c>
      <c r="AO10" s="6">
        <v>1389.1533333333341</v>
      </c>
      <c r="AP10" s="6">
        <v>2019.0610792652701</v>
      </c>
      <c r="AQ10" s="7">
        <v>2019.0610792652701</v>
      </c>
      <c r="AR10" s="8">
        <v>6.333333333333333</v>
      </c>
      <c r="AS10" s="4">
        <v>14</v>
      </c>
      <c r="AT10" s="9">
        <v>12</v>
      </c>
      <c r="AU10" s="3">
        <v>97442.34599999999</v>
      </c>
      <c r="AV10" s="3">
        <f t="shared" si="2"/>
        <v>122982.82633093011</v>
      </c>
      <c r="AW10" s="6">
        <f t="shared" si="3"/>
        <v>3213.3678020216284</v>
      </c>
      <c r="AX10" s="22">
        <v>103</v>
      </c>
      <c r="AY10" s="4">
        <f t="shared" si="4"/>
        <v>72</v>
      </c>
    </row>
    <row r="11" spans="1:51" x14ac:dyDescent="0.3">
      <c r="A11" t="s">
        <v>43</v>
      </c>
      <c r="B11" t="s">
        <v>44</v>
      </c>
      <c r="C11" s="3">
        <v>88810.672573802192</v>
      </c>
      <c r="D11" s="3">
        <f t="shared" si="0"/>
        <v>88923.214601853964</v>
      </c>
      <c r="E11" s="4">
        <v>63</v>
      </c>
      <c r="F11" s="9">
        <v>63</v>
      </c>
      <c r="G11" s="3">
        <v>36555.609624275421</v>
      </c>
      <c r="H11" s="36">
        <v>36555.609624275421</v>
      </c>
      <c r="I11" s="4">
        <v>62</v>
      </c>
      <c r="J11" s="4">
        <v>62</v>
      </c>
      <c r="K11" s="3">
        <v>49247.604977578543</v>
      </c>
      <c r="L11" s="36">
        <v>49247.604977578543</v>
      </c>
      <c r="M11" s="4">
        <v>63</v>
      </c>
      <c r="N11" s="4">
        <v>63</v>
      </c>
      <c r="O11" s="3">
        <v>3007.4579719482281</v>
      </c>
      <c r="P11" s="36">
        <v>3120</v>
      </c>
      <c r="Q11" s="4">
        <v>53</v>
      </c>
      <c r="R11" s="4">
        <v>53</v>
      </c>
      <c r="S11" s="6">
        <v>849.74666666666667</v>
      </c>
      <c r="T11" s="6">
        <v>1050.6298733115598</v>
      </c>
      <c r="U11" s="37">
        <v>1050.6298733115598</v>
      </c>
      <c r="V11" s="8">
        <v>45.333333333333336</v>
      </c>
      <c r="W11" s="4">
        <v>48</v>
      </c>
      <c r="X11" s="9">
        <v>48</v>
      </c>
      <c r="Y11" s="3">
        <v>23108.160492044197</v>
      </c>
      <c r="Z11" s="3">
        <f t="shared" si="1"/>
        <v>23108.160492044197</v>
      </c>
      <c r="AA11" s="4">
        <v>38</v>
      </c>
      <c r="AB11" s="9">
        <v>38</v>
      </c>
      <c r="AC11" s="3">
        <v>12990.717244838277</v>
      </c>
      <c r="AD11" s="5">
        <v>12990.717244838277</v>
      </c>
      <c r="AE11" s="4">
        <v>32</v>
      </c>
      <c r="AF11" s="4">
        <v>32</v>
      </c>
      <c r="AG11" s="3">
        <v>4755.3896715633791</v>
      </c>
      <c r="AH11" s="5">
        <v>4755.3896715633791</v>
      </c>
      <c r="AI11" s="4">
        <v>17</v>
      </c>
      <c r="AJ11" s="4">
        <v>17</v>
      </c>
      <c r="AK11" s="3">
        <v>5362.0535756425415</v>
      </c>
      <c r="AL11" s="5">
        <v>5362.0535756425415</v>
      </c>
      <c r="AM11" s="4">
        <v>25</v>
      </c>
      <c r="AN11" s="4">
        <v>25</v>
      </c>
      <c r="AO11" s="6">
        <v>1247.6400000000001</v>
      </c>
      <c r="AP11" s="6">
        <v>1795.841439061596</v>
      </c>
      <c r="AQ11" s="7">
        <v>1795.841439061596</v>
      </c>
      <c r="AR11" s="8">
        <v>0.66666666666666663</v>
      </c>
      <c r="AS11" s="4">
        <v>1</v>
      </c>
      <c r="AT11" s="9">
        <v>12</v>
      </c>
      <c r="AU11" s="3">
        <v>89127.75</v>
      </c>
      <c r="AV11" s="3">
        <f t="shared" si="2"/>
        <v>112031.37509389815</v>
      </c>
      <c r="AW11" s="6">
        <f t="shared" si="3"/>
        <v>2846.4713123731558</v>
      </c>
      <c r="AX11" s="22">
        <v>83</v>
      </c>
      <c r="AY11" s="4">
        <f t="shared" si="4"/>
        <v>57</v>
      </c>
    </row>
    <row r="12" spans="1:51" x14ac:dyDescent="0.3">
      <c r="A12" t="s">
        <v>45</v>
      </c>
      <c r="B12" t="s">
        <v>46</v>
      </c>
      <c r="C12" s="3">
        <v>57136.392553921549</v>
      </c>
      <c r="D12" s="3">
        <f t="shared" si="0"/>
        <v>57136.392553921549</v>
      </c>
      <c r="E12" s="4">
        <v>71</v>
      </c>
      <c r="F12" s="9">
        <v>71</v>
      </c>
      <c r="G12" s="3">
        <v>22667.365797727565</v>
      </c>
      <c r="H12" s="36">
        <v>22667.365797727565</v>
      </c>
      <c r="I12" s="4">
        <v>67</v>
      </c>
      <c r="J12" s="4">
        <v>67</v>
      </c>
      <c r="K12" s="3">
        <v>32968.239902873574</v>
      </c>
      <c r="L12" s="36">
        <v>32968.239902873574</v>
      </c>
      <c r="M12" s="4">
        <v>66</v>
      </c>
      <c r="N12" s="4">
        <v>66</v>
      </c>
      <c r="O12" s="3">
        <v>1500.7868533204085</v>
      </c>
      <c r="P12" s="36">
        <v>1500.7868533204085</v>
      </c>
      <c r="Q12" s="4">
        <v>34</v>
      </c>
      <c r="R12" s="4">
        <v>34</v>
      </c>
      <c r="S12" s="6">
        <v>520.43199999999979</v>
      </c>
      <c r="T12" s="6">
        <v>643.85034640296874</v>
      </c>
      <c r="U12" s="37">
        <v>643.85034640296874</v>
      </c>
      <c r="V12" s="8">
        <v>13.333333333333334</v>
      </c>
      <c r="W12" s="4">
        <v>14</v>
      </c>
      <c r="X12" s="9">
        <v>14</v>
      </c>
      <c r="Y12" s="3">
        <v>11473.39373626106</v>
      </c>
      <c r="Z12" s="3">
        <f t="shared" si="1"/>
        <v>11473.39373626106</v>
      </c>
      <c r="AA12" s="4">
        <v>25</v>
      </c>
      <c r="AB12" s="9">
        <v>25</v>
      </c>
      <c r="AC12" s="3">
        <v>5872.7752426678126</v>
      </c>
      <c r="AD12" s="5">
        <v>5872.7752426678126</v>
      </c>
      <c r="AE12" s="4">
        <v>19</v>
      </c>
      <c r="AF12" s="4">
        <v>19</v>
      </c>
      <c r="AG12" s="3">
        <v>2724.2938812829379</v>
      </c>
      <c r="AH12" s="5">
        <v>2724.2938812829379</v>
      </c>
      <c r="AI12" s="4">
        <v>11</v>
      </c>
      <c r="AJ12" s="4">
        <v>11</v>
      </c>
      <c r="AK12" s="3">
        <v>2876.3246123103099</v>
      </c>
      <c r="AL12" s="5">
        <v>2876.3246123103099</v>
      </c>
      <c r="AM12" s="4">
        <v>12</v>
      </c>
      <c r="AN12" s="4">
        <v>12</v>
      </c>
      <c r="AO12" s="6">
        <v>582.91999999999996</v>
      </c>
      <c r="AP12" s="6">
        <v>842.94521810131232</v>
      </c>
      <c r="AQ12" s="7">
        <v>842.94521810131232</v>
      </c>
      <c r="AR12" s="8">
        <v>0.33333333333333331</v>
      </c>
      <c r="AS12" s="4">
        <v>1</v>
      </c>
      <c r="AT12" s="9">
        <v>5</v>
      </c>
      <c r="AU12" s="3">
        <v>54966.530000000013</v>
      </c>
      <c r="AV12" s="3">
        <f t="shared" si="2"/>
        <v>68609.786290182616</v>
      </c>
      <c r="AW12" s="6">
        <f t="shared" si="3"/>
        <v>1486.7955645042812</v>
      </c>
      <c r="AX12" s="22">
        <v>91</v>
      </c>
      <c r="AY12" s="4">
        <f t="shared" si="4"/>
        <v>64</v>
      </c>
    </row>
    <row r="13" spans="1:51" x14ac:dyDescent="0.3">
      <c r="A13" t="s">
        <v>47</v>
      </c>
      <c r="B13" t="s">
        <v>48</v>
      </c>
      <c r="C13" s="3">
        <v>54655.643378727036</v>
      </c>
      <c r="D13" s="3">
        <f t="shared" si="0"/>
        <v>60186.990387116079</v>
      </c>
      <c r="E13" s="4">
        <v>73</v>
      </c>
      <c r="F13" s="9">
        <v>73</v>
      </c>
      <c r="G13" s="3">
        <v>22404.413975290328</v>
      </c>
      <c r="H13" s="36">
        <v>25000</v>
      </c>
      <c r="I13" s="4">
        <v>70</v>
      </c>
      <c r="J13" s="4">
        <v>70</v>
      </c>
      <c r="K13" s="3">
        <v>30064.239016320629</v>
      </c>
      <c r="L13" s="36">
        <v>33000</v>
      </c>
      <c r="M13" s="4">
        <v>71</v>
      </c>
      <c r="N13" s="4">
        <v>71</v>
      </c>
      <c r="O13" s="3">
        <v>2186.9903871160773</v>
      </c>
      <c r="P13" s="36">
        <v>2186.9903871160773</v>
      </c>
      <c r="Q13" s="4">
        <v>55</v>
      </c>
      <c r="R13" s="4">
        <v>55</v>
      </c>
      <c r="S13" s="6">
        <v>534.35133333333351</v>
      </c>
      <c r="T13" s="6">
        <v>659.71607725707554</v>
      </c>
      <c r="U13" s="37">
        <v>659.71607725707554</v>
      </c>
      <c r="V13" s="8">
        <v>37.333333333333336</v>
      </c>
      <c r="W13" s="4">
        <v>46</v>
      </c>
      <c r="X13" s="9">
        <v>46</v>
      </c>
      <c r="Y13" s="3">
        <v>11267.44451126077</v>
      </c>
      <c r="Z13" s="3">
        <f t="shared" si="1"/>
        <v>11267.44451126077</v>
      </c>
      <c r="AA13" s="4">
        <v>31</v>
      </c>
      <c r="AB13" s="9">
        <v>31</v>
      </c>
      <c r="AC13" s="3">
        <v>7621.2751053823331</v>
      </c>
      <c r="AD13" s="5">
        <v>7621.2751053823331</v>
      </c>
      <c r="AE13" s="4">
        <v>27</v>
      </c>
      <c r="AF13" s="4">
        <v>27</v>
      </c>
      <c r="AG13" s="3">
        <v>1778.4049925978459</v>
      </c>
      <c r="AH13" s="5">
        <v>1778.4049925978459</v>
      </c>
      <c r="AI13" s="4">
        <v>12</v>
      </c>
      <c r="AJ13" s="4">
        <v>12</v>
      </c>
      <c r="AK13" s="3">
        <v>1867.7644132805913</v>
      </c>
      <c r="AL13" s="5">
        <v>1867.7644132805913</v>
      </c>
      <c r="AM13" s="4">
        <v>15</v>
      </c>
      <c r="AN13" s="4">
        <v>15</v>
      </c>
      <c r="AO13" s="6">
        <v>647.25333333333356</v>
      </c>
      <c r="AP13" s="6">
        <v>922.46524360252533</v>
      </c>
      <c r="AQ13" s="7">
        <v>922.46524360252533</v>
      </c>
      <c r="AR13" s="8">
        <v>3.3333333333333335</v>
      </c>
      <c r="AS13" s="4">
        <v>7</v>
      </c>
      <c r="AT13" s="9">
        <v>12</v>
      </c>
      <c r="AU13" s="3">
        <v>52856.866666666669</v>
      </c>
      <c r="AV13" s="3">
        <f t="shared" si="2"/>
        <v>71454.434898376843</v>
      </c>
      <c r="AW13" s="6">
        <f t="shared" si="3"/>
        <v>1582.1813208596009</v>
      </c>
      <c r="AX13" s="22">
        <v>94</v>
      </c>
      <c r="AY13" s="4">
        <f t="shared" si="4"/>
        <v>66</v>
      </c>
    </row>
    <row r="14" spans="1:51" x14ac:dyDescent="0.3">
      <c r="A14" t="s">
        <v>49</v>
      </c>
      <c r="B14" t="s">
        <v>50</v>
      </c>
      <c r="C14" s="3">
        <v>47906.077285612009</v>
      </c>
      <c r="D14" s="3">
        <f t="shared" si="0"/>
        <v>47906.077285612009</v>
      </c>
      <c r="E14" s="4">
        <v>55</v>
      </c>
      <c r="F14" s="9">
        <v>55</v>
      </c>
      <c r="G14" s="3">
        <v>20584.117760791625</v>
      </c>
      <c r="H14" s="36">
        <v>20584.117760791625</v>
      </c>
      <c r="I14" s="4">
        <v>53</v>
      </c>
      <c r="J14" s="4">
        <v>53</v>
      </c>
      <c r="K14" s="3">
        <v>26265.350312485323</v>
      </c>
      <c r="L14" s="36">
        <v>26265.350312485323</v>
      </c>
      <c r="M14" s="4">
        <v>55</v>
      </c>
      <c r="N14" s="4">
        <v>55</v>
      </c>
      <c r="O14" s="3">
        <v>1056.6092123350575</v>
      </c>
      <c r="P14" s="36">
        <v>1056.6092123350575</v>
      </c>
      <c r="Q14" s="4">
        <v>41</v>
      </c>
      <c r="R14" s="4">
        <v>41</v>
      </c>
      <c r="S14" s="6">
        <v>576.00633333333337</v>
      </c>
      <c r="T14" s="6">
        <v>716.20885023829442</v>
      </c>
      <c r="U14" s="37">
        <v>716.20885023829442</v>
      </c>
      <c r="V14" s="8">
        <v>27.666666666666668</v>
      </c>
      <c r="W14" s="4">
        <v>28</v>
      </c>
      <c r="X14" s="9">
        <v>28</v>
      </c>
      <c r="Y14" s="3">
        <v>2660.8943439777286</v>
      </c>
      <c r="Z14" s="3">
        <f t="shared" si="1"/>
        <v>2660.8943439777286</v>
      </c>
      <c r="AA14" s="4">
        <v>13</v>
      </c>
      <c r="AB14" s="9">
        <v>13</v>
      </c>
      <c r="AC14" s="3">
        <v>1506.8945409984356</v>
      </c>
      <c r="AD14" s="5">
        <v>1506.8945409984356</v>
      </c>
      <c r="AE14" s="4">
        <v>8</v>
      </c>
      <c r="AF14" s="4">
        <v>8</v>
      </c>
      <c r="AG14" s="3">
        <v>74.80312528073901</v>
      </c>
      <c r="AH14" s="5">
        <v>74.80312528073901</v>
      </c>
      <c r="AI14" s="4">
        <v>1</v>
      </c>
      <c r="AJ14" s="4">
        <v>1</v>
      </c>
      <c r="AK14" s="3">
        <v>1079.1966776985541</v>
      </c>
      <c r="AL14" s="5">
        <v>1079.1966776985541</v>
      </c>
      <c r="AM14" s="4">
        <v>6</v>
      </c>
      <c r="AN14" s="4">
        <v>6</v>
      </c>
      <c r="AO14" s="6">
        <v>138.24666666666667</v>
      </c>
      <c r="AP14" s="6">
        <v>194.28722772484122</v>
      </c>
      <c r="AQ14" s="7">
        <v>194.28722772484122</v>
      </c>
      <c r="AR14" s="8">
        <v>0</v>
      </c>
      <c r="AS14" s="4">
        <v>0</v>
      </c>
      <c r="AT14" s="9">
        <v>5</v>
      </c>
      <c r="AU14" s="3">
        <v>41290.179999999993</v>
      </c>
      <c r="AV14" s="3">
        <f t="shared" si="2"/>
        <v>50566.971629589738</v>
      </c>
      <c r="AW14" s="6">
        <f t="shared" si="3"/>
        <v>910.49607796313558</v>
      </c>
      <c r="AX14" s="22">
        <v>72</v>
      </c>
      <c r="AY14" s="4">
        <f t="shared" si="4"/>
        <v>50</v>
      </c>
    </row>
    <row r="15" spans="1:51" x14ac:dyDescent="0.3">
      <c r="A15" t="s">
        <v>51</v>
      </c>
      <c r="B15" t="s">
        <v>52</v>
      </c>
      <c r="C15" s="3">
        <v>5085.995406922063</v>
      </c>
      <c r="D15" s="3">
        <f t="shared" si="0"/>
        <v>5085.995406922063</v>
      </c>
      <c r="E15" s="4">
        <v>5</v>
      </c>
      <c r="F15" s="9">
        <v>5</v>
      </c>
      <c r="G15" s="3">
        <v>1317.8520255264416</v>
      </c>
      <c r="H15" s="36">
        <v>1317.8520255264416</v>
      </c>
      <c r="I15" s="4">
        <v>3</v>
      </c>
      <c r="J15" s="4">
        <v>3</v>
      </c>
      <c r="K15" s="3">
        <v>3502.7300273211076</v>
      </c>
      <c r="L15" s="36">
        <v>3502.7300273211076</v>
      </c>
      <c r="M15" s="4">
        <v>5</v>
      </c>
      <c r="N15" s="4">
        <v>5</v>
      </c>
      <c r="O15" s="3">
        <v>265.41335407451459</v>
      </c>
      <c r="P15" s="36">
        <v>265.41335407451459</v>
      </c>
      <c r="Q15" s="4">
        <v>3</v>
      </c>
      <c r="R15" s="4">
        <v>3</v>
      </c>
      <c r="S15" s="6">
        <v>59.931000000000004</v>
      </c>
      <c r="T15" s="6">
        <v>73.473754333201214</v>
      </c>
      <c r="U15" s="37">
        <v>73.473754333201214</v>
      </c>
      <c r="V15" s="8">
        <v>1</v>
      </c>
      <c r="W15" s="4">
        <v>1</v>
      </c>
      <c r="X15" s="9">
        <v>1</v>
      </c>
      <c r="Y15" s="3">
        <v>1374.8862757170502</v>
      </c>
      <c r="Z15" s="3">
        <f t="shared" si="1"/>
        <v>1374.8862757170502</v>
      </c>
      <c r="AA15" s="4">
        <v>1</v>
      </c>
      <c r="AB15" s="9">
        <v>1</v>
      </c>
      <c r="AC15" s="3">
        <v>171.53495502219707</v>
      </c>
      <c r="AD15" s="5">
        <v>171.53495502219707</v>
      </c>
      <c r="AE15" s="4">
        <v>1</v>
      </c>
      <c r="AF15" s="4">
        <v>1</v>
      </c>
      <c r="AG15" s="3">
        <v>649.70894669513939</v>
      </c>
      <c r="AH15" s="5">
        <v>649.70894669513939</v>
      </c>
      <c r="AI15" s="4">
        <v>1</v>
      </c>
      <c r="AJ15" s="4">
        <v>1</v>
      </c>
      <c r="AK15" s="3">
        <v>553.64237399971375</v>
      </c>
      <c r="AL15" s="5">
        <v>553.64237399971375</v>
      </c>
      <c r="AM15" s="4">
        <v>1</v>
      </c>
      <c r="AN15" s="4">
        <v>1</v>
      </c>
      <c r="AO15" s="6">
        <v>49.06</v>
      </c>
      <c r="AP15" s="6">
        <v>76.506106235363376</v>
      </c>
      <c r="AQ15" s="7">
        <v>76.506106235363376</v>
      </c>
      <c r="AR15" s="8">
        <v>0.33333333333333331</v>
      </c>
      <c r="AS15" s="4">
        <v>1</v>
      </c>
      <c r="AT15" s="9">
        <v>2</v>
      </c>
      <c r="AU15" s="3">
        <v>5135.5320000000002</v>
      </c>
      <c r="AV15" s="3">
        <f t="shared" si="2"/>
        <v>6460.881682639113</v>
      </c>
      <c r="AW15" s="6">
        <f t="shared" si="3"/>
        <v>149.97986056856459</v>
      </c>
      <c r="AX15" s="22">
        <v>5</v>
      </c>
      <c r="AY15" s="4">
        <f t="shared" si="4"/>
        <v>5</v>
      </c>
    </row>
    <row r="16" spans="1:51" x14ac:dyDescent="0.3">
      <c r="A16" s="10" t="s">
        <v>53</v>
      </c>
      <c r="B16" s="11" t="s">
        <v>54</v>
      </c>
      <c r="C16" s="12">
        <f t="shared" ref="C16:AX16" si="5">SUM(C4:C15)</f>
        <v>1142396.5599999998</v>
      </c>
      <c r="D16" s="12">
        <f t="shared" si="5"/>
        <v>1142610.3569323171</v>
      </c>
      <c r="E16" s="13">
        <f t="shared" si="5"/>
        <v>902</v>
      </c>
      <c r="F16" s="13">
        <f t="shared" si="5"/>
        <v>902</v>
      </c>
      <c r="G16" s="12">
        <f t="shared" si="5"/>
        <v>450548.7300000001</v>
      </c>
      <c r="H16" s="12">
        <f t="shared" si="5"/>
        <v>450578.18148635962</v>
      </c>
      <c r="I16" s="13">
        <f t="shared" si="5"/>
        <v>880</v>
      </c>
      <c r="J16" s="13">
        <f t="shared" si="5"/>
        <v>880</v>
      </c>
      <c r="K16" s="12">
        <f t="shared" si="5"/>
        <v>646426.2999999997</v>
      </c>
      <c r="L16" s="12">
        <f t="shared" si="5"/>
        <v>646571.08217983844</v>
      </c>
      <c r="M16" s="13">
        <f t="shared" si="5"/>
        <v>891</v>
      </c>
      <c r="N16" s="13">
        <f t="shared" si="5"/>
        <v>891</v>
      </c>
      <c r="O16" s="12">
        <f t="shared" si="5"/>
        <v>45421.53</v>
      </c>
      <c r="P16" s="12">
        <f t="shared" si="5"/>
        <v>45461.093266119155</v>
      </c>
      <c r="Q16" s="13">
        <f t="shared" si="5"/>
        <v>763</v>
      </c>
      <c r="R16" s="13">
        <f t="shared" si="5"/>
        <v>763</v>
      </c>
      <c r="S16" s="14">
        <f t="shared" si="5"/>
        <v>11691.926333333333</v>
      </c>
      <c r="T16" s="14">
        <f t="shared" si="5"/>
        <v>14435.85</v>
      </c>
      <c r="U16" s="14">
        <f t="shared" si="5"/>
        <v>14521.896567167199</v>
      </c>
      <c r="V16" s="15">
        <f t="shared" si="5"/>
        <v>588.33333333333337</v>
      </c>
      <c r="W16" s="13">
        <f t="shared" si="5"/>
        <v>621</v>
      </c>
      <c r="X16" s="13">
        <f t="shared" si="5"/>
        <v>621</v>
      </c>
      <c r="Y16" s="12">
        <f t="shared" si="5"/>
        <v>230808.23999999958</v>
      </c>
      <c r="Z16" s="12">
        <f t="shared" si="5"/>
        <v>230808.23999999958</v>
      </c>
      <c r="AA16" s="13">
        <f t="shared" si="5"/>
        <v>426</v>
      </c>
      <c r="AB16" s="13">
        <f t="shared" si="5"/>
        <v>426</v>
      </c>
      <c r="AC16" s="12">
        <f t="shared" si="5"/>
        <v>127890.36999999963</v>
      </c>
      <c r="AD16" s="12">
        <f t="shared" si="5"/>
        <v>127890.36999999963</v>
      </c>
      <c r="AE16" s="13">
        <f t="shared" si="5"/>
        <v>371</v>
      </c>
      <c r="AF16" s="13">
        <f t="shared" si="5"/>
        <v>371</v>
      </c>
      <c r="AG16" s="12">
        <f t="shared" si="5"/>
        <v>48009.139999999978</v>
      </c>
      <c r="AH16" s="12">
        <f t="shared" si="5"/>
        <v>48009.139999999978</v>
      </c>
      <c r="AI16" s="13">
        <f t="shared" si="5"/>
        <v>167</v>
      </c>
      <c r="AJ16" s="13">
        <f t="shared" si="5"/>
        <v>167</v>
      </c>
      <c r="AK16" s="12">
        <f t="shared" si="5"/>
        <v>54908.729999999945</v>
      </c>
      <c r="AL16" s="12">
        <f t="shared" si="5"/>
        <v>54908.729999999945</v>
      </c>
      <c r="AM16" s="13">
        <f t="shared" si="5"/>
        <v>236</v>
      </c>
      <c r="AN16" s="13">
        <f t="shared" si="5"/>
        <v>236</v>
      </c>
      <c r="AO16" s="14">
        <f t="shared" si="5"/>
        <v>12321.645333333332</v>
      </c>
      <c r="AP16" s="14">
        <f t="shared" si="5"/>
        <v>17734.600000000006</v>
      </c>
      <c r="AQ16" s="14">
        <f t="shared" si="5"/>
        <v>17734.600000000006</v>
      </c>
      <c r="AR16" s="15">
        <f t="shared" si="5"/>
        <v>55.000000000000007</v>
      </c>
      <c r="AS16" s="13">
        <f t="shared" si="5"/>
        <v>120</v>
      </c>
      <c r="AT16" s="13">
        <f t="shared" si="5"/>
        <v>120</v>
      </c>
      <c r="AU16" s="12">
        <f t="shared" si="5"/>
        <v>1101289.5856666665</v>
      </c>
      <c r="AV16" s="12">
        <f t="shared" si="5"/>
        <v>1373418.5969323171</v>
      </c>
      <c r="AW16" s="14">
        <f t="shared" si="5"/>
        <v>32256.496567167203</v>
      </c>
      <c r="AX16" s="13">
        <f t="shared" si="5"/>
        <v>1173</v>
      </c>
      <c r="AY16" s="13">
        <f t="shared" si="4"/>
        <v>812</v>
      </c>
    </row>
    <row r="17" spans="1:51" x14ac:dyDescent="0.3">
      <c r="A17" t="s">
        <v>55</v>
      </c>
      <c r="B17" t="s">
        <v>56</v>
      </c>
      <c r="C17" s="3">
        <v>203823.46120621593</v>
      </c>
      <c r="D17" s="3">
        <f t="shared" ref="D17:D26" si="6">H17+L17+P17</f>
        <v>202803</v>
      </c>
      <c r="E17" s="4">
        <v>46</v>
      </c>
      <c r="F17" s="9">
        <v>46</v>
      </c>
      <c r="G17" s="3">
        <v>84643.105164471679</v>
      </c>
      <c r="H17" s="5">
        <v>84300</v>
      </c>
      <c r="I17" s="4">
        <v>46</v>
      </c>
      <c r="J17" s="4">
        <v>46</v>
      </c>
      <c r="K17" s="3">
        <v>116904.1364002631</v>
      </c>
      <c r="L17" s="5">
        <v>115999</v>
      </c>
      <c r="M17" s="4">
        <v>46</v>
      </c>
      <c r="N17" s="4">
        <v>46</v>
      </c>
      <c r="O17" s="3">
        <v>2276.2196414811451</v>
      </c>
      <c r="P17" s="5">
        <v>2504</v>
      </c>
      <c r="Q17" s="4">
        <v>45</v>
      </c>
      <c r="R17" s="4">
        <v>45</v>
      </c>
      <c r="S17" s="6">
        <v>2179.6929999999993</v>
      </c>
      <c r="T17" s="6">
        <v>2652.685007079313</v>
      </c>
      <c r="U17" s="7">
        <v>2660</v>
      </c>
      <c r="V17" s="8">
        <v>42.333333333333336</v>
      </c>
      <c r="W17" s="4">
        <v>38</v>
      </c>
      <c r="X17" s="9">
        <v>41</v>
      </c>
      <c r="Y17" s="3">
        <v>38515.877000881184</v>
      </c>
      <c r="Z17" s="3">
        <f t="shared" ref="Z17:Z26" si="7">AD17+AH17+AL17</f>
        <v>34880</v>
      </c>
      <c r="AA17" s="4">
        <v>23</v>
      </c>
      <c r="AB17" s="9">
        <v>25</v>
      </c>
      <c r="AC17" s="3">
        <v>17607.711579055787</v>
      </c>
      <c r="AD17" s="5">
        <v>15000</v>
      </c>
      <c r="AE17" s="4">
        <v>23</v>
      </c>
      <c r="AF17" s="4">
        <v>23</v>
      </c>
      <c r="AG17" s="3">
        <v>10312.947547670266</v>
      </c>
      <c r="AH17" s="5">
        <v>9980</v>
      </c>
      <c r="AI17" s="4">
        <v>15</v>
      </c>
      <c r="AJ17" s="4">
        <v>15</v>
      </c>
      <c r="AK17" s="3">
        <v>10595.217874155131</v>
      </c>
      <c r="AL17" s="5">
        <v>9900</v>
      </c>
      <c r="AM17" s="4">
        <v>17</v>
      </c>
      <c r="AN17" s="4">
        <v>17</v>
      </c>
      <c r="AO17" s="6">
        <v>2192.3853333333336</v>
      </c>
      <c r="AP17" s="6">
        <v>2840.5266942522476</v>
      </c>
      <c r="AQ17" s="7">
        <v>2800</v>
      </c>
      <c r="AR17" s="8">
        <v>9</v>
      </c>
      <c r="AS17" s="4">
        <v>20</v>
      </c>
      <c r="AT17" s="9">
        <v>16</v>
      </c>
      <c r="AU17" s="3">
        <v>195460.04</v>
      </c>
      <c r="AV17" s="3">
        <f t="shared" ref="AV17:AV26" si="8">D17+Z17</f>
        <v>237683</v>
      </c>
      <c r="AW17" s="6">
        <f t="shared" ref="AW17:AW26" si="9">U17+AQ17</f>
        <v>5460</v>
      </c>
      <c r="AX17" s="22">
        <v>51</v>
      </c>
      <c r="AY17" s="4">
        <f t="shared" si="4"/>
        <v>41</v>
      </c>
    </row>
    <row r="18" spans="1:51" x14ac:dyDescent="0.3">
      <c r="A18" t="s">
        <v>57</v>
      </c>
      <c r="B18" t="s">
        <v>58</v>
      </c>
      <c r="C18" s="3">
        <v>116222.35279728616</v>
      </c>
      <c r="D18" s="3">
        <f t="shared" si="6"/>
        <v>116297</v>
      </c>
      <c r="E18" s="4">
        <v>121</v>
      </c>
      <c r="F18" s="9">
        <v>120</v>
      </c>
      <c r="G18" s="3">
        <v>41932.890550521872</v>
      </c>
      <c r="H18" s="5">
        <v>41899</v>
      </c>
      <c r="I18" s="4">
        <v>115</v>
      </c>
      <c r="J18" s="4">
        <v>115</v>
      </c>
      <c r="K18" s="3">
        <v>69862.304766433794</v>
      </c>
      <c r="L18" s="5">
        <v>69999</v>
      </c>
      <c r="M18" s="4">
        <v>121</v>
      </c>
      <c r="N18" s="4">
        <v>121</v>
      </c>
      <c r="O18" s="3">
        <v>4427.157480330502</v>
      </c>
      <c r="P18" s="5">
        <v>4399</v>
      </c>
      <c r="Q18" s="4">
        <v>106</v>
      </c>
      <c r="R18" s="4">
        <v>106</v>
      </c>
      <c r="S18" s="6">
        <v>1245.7316666666666</v>
      </c>
      <c r="T18" s="6">
        <v>1492.2444955729363</v>
      </c>
      <c r="U18" s="7">
        <v>1492.2444955729363</v>
      </c>
      <c r="V18" s="8">
        <v>77</v>
      </c>
      <c r="W18" s="4">
        <v>104</v>
      </c>
      <c r="X18" s="9">
        <v>98</v>
      </c>
      <c r="Y18" s="3">
        <v>13873.680665465919</v>
      </c>
      <c r="Z18" s="3">
        <f t="shared" si="7"/>
        <v>14634.813407653826</v>
      </c>
      <c r="AA18" s="4">
        <v>50</v>
      </c>
      <c r="AB18" s="9">
        <v>52</v>
      </c>
      <c r="AC18" s="3">
        <v>8642.6700141303627</v>
      </c>
      <c r="AD18" s="5">
        <v>9382.9599999999991</v>
      </c>
      <c r="AE18" s="4">
        <v>48</v>
      </c>
      <c r="AF18" s="4">
        <v>48</v>
      </c>
      <c r="AG18" s="3">
        <v>2751.8534076538267</v>
      </c>
      <c r="AH18" s="5">
        <v>2751.8534076538267</v>
      </c>
      <c r="AI18" s="4">
        <v>26</v>
      </c>
      <c r="AJ18" s="4">
        <v>26</v>
      </c>
      <c r="AK18" s="3">
        <v>2479.1572436817291</v>
      </c>
      <c r="AL18" s="5">
        <v>2500</v>
      </c>
      <c r="AM18" s="4">
        <v>29</v>
      </c>
      <c r="AN18" s="4">
        <v>29</v>
      </c>
      <c r="AO18" s="6">
        <v>808.48666666666668</v>
      </c>
      <c r="AP18" s="6">
        <v>1029.7130569043422</v>
      </c>
      <c r="AQ18" s="7">
        <v>1050</v>
      </c>
      <c r="AR18" s="8">
        <v>14.333333333333334</v>
      </c>
      <c r="AS18" s="4">
        <v>32</v>
      </c>
      <c r="AT18" s="9">
        <v>22</v>
      </c>
      <c r="AU18" s="3">
        <v>105969.36566666668</v>
      </c>
      <c r="AV18" s="3">
        <f t="shared" si="8"/>
        <v>130931.81340765383</v>
      </c>
      <c r="AW18" s="6">
        <f t="shared" si="9"/>
        <v>2542.2444955729361</v>
      </c>
      <c r="AX18" s="22">
        <v>134</v>
      </c>
      <c r="AY18" s="4">
        <f t="shared" si="4"/>
        <v>108</v>
      </c>
    </row>
    <row r="19" spans="1:51" x14ac:dyDescent="0.3">
      <c r="A19" t="s">
        <v>59</v>
      </c>
      <c r="B19" t="s">
        <v>60</v>
      </c>
      <c r="C19" s="3">
        <v>111715.73453540144</v>
      </c>
      <c r="D19" s="3">
        <f t="shared" si="6"/>
        <v>111509.53</v>
      </c>
      <c r="E19" s="4">
        <v>110</v>
      </c>
      <c r="F19" s="9">
        <v>110</v>
      </c>
      <c r="G19" s="3">
        <v>47558.219498924766</v>
      </c>
      <c r="H19" s="5">
        <v>46999</v>
      </c>
      <c r="I19" s="4">
        <v>108</v>
      </c>
      <c r="J19" s="4">
        <v>108</v>
      </c>
      <c r="K19" s="3">
        <v>60446.363121837756</v>
      </c>
      <c r="L19" s="5">
        <v>60999</v>
      </c>
      <c r="M19" s="4">
        <v>108</v>
      </c>
      <c r="N19" s="4">
        <v>108</v>
      </c>
      <c r="O19" s="3">
        <v>3711.1519146389205</v>
      </c>
      <c r="P19" s="5">
        <v>3511.53</v>
      </c>
      <c r="Q19" s="4">
        <v>106</v>
      </c>
      <c r="R19" s="4">
        <v>106</v>
      </c>
      <c r="S19" s="6">
        <v>1145.7673333333335</v>
      </c>
      <c r="T19" s="6">
        <v>1388.7807165768527</v>
      </c>
      <c r="U19" s="7">
        <v>1388.7807165768527</v>
      </c>
      <c r="V19" s="8">
        <v>81.666666666666671</v>
      </c>
      <c r="W19" s="4">
        <v>78</v>
      </c>
      <c r="X19" s="9">
        <v>75</v>
      </c>
      <c r="Y19" s="3">
        <v>19732.05190633384</v>
      </c>
      <c r="Z19" s="3">
        <f t="shared" si="7"/>
        <v>19799</v>
      </c>
      <c r="AA19" s="4">
        <v>48</v>
      </c>
      <c r="AB19" s="9">
        <v>46</v>
      </c>
      <c r="AC19" s="3">
        <v>13305.892479022194</v>
      </c>
      <c r="AD19" s="5">
        <v>13000</v>
      </c>
      <c r="AE19" s="4">
        <v>47</v>
      </c>
      <c r="AF19" s="4">
        <v>47</v>
      </c>
      <c r="AG19" s="3">
        <v>4318.9547737391122</v>
      </c>
      <c r="AH19" s="5">
        <v>4299</v>
      </c>
      <c r="AI19" s="4">
        <v>10</v>
      </c>
      <c r="AJ19" s="4">
        <v>10</v>
      </c>
      <c r="AK19" s="3">
        <v>2107.2046535725362</v>
      </c>
      <c r="AL19" s="5">
        <v>2500</v>
      </c>
      <c r="AM19" s="4">
        <v>10</v>
      </c>
      <c r="AN19" s="4">
        <v>10</v>
      </c>
      <c r="AO19" s="6">
        <v>1293.1799999999992</v>
      </c>
      <c r="AP19" s="6">
        <v>1644.9848316104315</v>
      </c>
      <c r="AQ19" s="7">
        <v>1640</v>
      </c>
      <c r="AR19" s="8">
        <v>0</v>
      </c>
      <c r="AS19" s="4">
        <v>0</v>
      </c>
      <c r="AT19" s="9">
        <v>10</v>
      </c>
      <c r="AU19" s="3">
        <v>106236.42666666668</v>
      </c>
      <c r="AV19" s="3">
        <f t="shared" si="8"/>
        <v>131308.53</v>
      </c>
      <c r="AW19" s="6">
        <f t="shared" si="9"/>
        <v>3028.7807165768527</v>
      </c>
      <c r="AX19" s="22">
        <v>123</v>
      </c>
      <c r="AY19" s="4">
        <f t="shared" si="4"/>
        <v>99</v>
      </c>
    </row>
    <row r="20" spans="1:51" x14ac:dyDescent="0.3">
      <c r="A20" t="s">
        <v>61</v>
      </c>
      <c r="B20" t="s">
        <v>62</v>
      </c>
      <c r="C20" s="3">
        <v>108670.82767148422</v>
      </c>
      <c r="D20" s="3">
        <f t="shared" si="6"/>
        <v>109049.97699881604</v>
      </c>
      <c r="E20" s="4">
        <v>15</v>
      </c>
      <c r="F20" s="9">
        <v>15</v>
      </c>
      <c r="G20" s="3">
        <v>39651.217448753443</v>
      </c>
      <c r="H20" s="5">
        <v>39651.019999999997</v>
      </c>
      <c r="I20" s="4">
        <v>15</v>
      </c>
      <c r="J20" s="4">
        <v>15</v>
      </c>
      <c r="K20" s="3">
        <v>64619.653223914727</v>
      </c>
      <c r="L20" s="5">
        <v>64999</v>
      </c>
      <c r="M20" s="4">
        <v>15</v>
      </c>
      <c r="N20" s="4">
        <v>15</v>
      </c>
      <c r="O20" s="3">
        <v>4399.9569988160483</v>
      </c>
      <c r="P20" s="5">
        <v>4399.9569988160483</v>
      </c>
      <c r="Q20" s="4">
        <v>14</v>
      </c>
      <c r="R20" s="4">
        <v>14</v>
      </c>
      <c r="S20" s="6">
        <v>1231.4509999999996</v>
      </c>
      <c r="T20" s="6">
        <v>1482.9306400863316</v>
      </c>
      <c r="U20" s="7">
        <v>1482.9306400863316</v>
      </c>
      <c r="V20" s="8">
        <v>8.3333333333333339</v>
      </c>
      <c r="W20" s="4">
        <v>8</v>
      </c>
      <c r="X20" s="9">
        <v>10</v>
      </c>
      <c r="Y20" s="3">
        <v>41028.269374518364</v>
      </c>
      <c r="Z20" s="3">
        <f t="shared" si="7"/>
        <v>41241.645517189485</v>
      </c>
      <c r="AA20" s="4">
        <v>10</v>
      </c>
      <c r="AB20" s="9">
        <v>12</v>
      </c>
      <c r="AC20" s="3">
        <v>19325.608592137818</v>
      </c>
      <c r="AD20" s="5">
        <v>20000</v>
      </c>
      <c r="AE20" s="4">
        <v>9</v>
      </c>
      <c r="AF20" s="4">
        <v>9</v>
      </c>
      <c r="AG20" s="3">
        <v>12141.645517189483</v>
      </c>
      <c r="AH20" s="5">
        <v>12141.645517189483</v>
      </c>
      <c r="AI20" s="4">
        <v>7</v>
      </c>
      <c r="AJ20" s="4">
        <v>7</v>
      </c>
      <c r="AK20" s="3">
        <v>9561.0152651910648</v>
      </c>
      <c r="AL20" s="5">
        <v>9100</v>
      </c>
      <c r="AM20" s="4">
        <v>8</v>
      </c>
      <c r="AN20" s="4">
        <v>8</v>
      </c>
      <c r="AO20" s="6">
        <v>2274.9546666666665</v>
      </c>
      <c r="AP20" s="6">
        <v>2950.241287111684</v>
      </c>
      <c r="AQ20" s="7">
        <v>2948</v>
      </c>
      <c r="AR20" s="8">
        <v>3</v>
      </c>
      <c r="AS20" s="4">
        <v>7</v>
      </c>
      <c r="AT20" s="9">
        <v>7</v>
      </c>
      <c r="AU20" s="3">
        <v>120425.606</v>
      </c>
      <c r="AV20" s="3">
        <f t="shared" si="8"/>
        <v>150291.62251600553</v>
      </c>
      <c r="AW20" s="6">
        <f t="shared" si="9"/>
        <v>4430.9306400863316</v>
      </c>
      <c r="AX20" s="22">
        <v>16</v>
      </c>
      <c r="AY20" s="4">
        <f t="shared" si="4"/>
        <v>14</v>
      </c>
    </row>
    <row r="21" spans="1:51" x14ac:dyDescent="0.3">
      <c r="A21" t="s">
        <v>63</v>
      </c>
      <c r="B21" t="s">
        <v>64</v>
      </c>
      <c r="C21" s="3">
        <v>107926.40335460215</v>
      </c>
      <c r="D21" s="3">
        <f t="shared" si="6"/>
        <v>106558.99405725696</v>
      </c>
      <c r="E21" s="4">
        <v>81</v>
      </c>
      <c r="F21" s="9">
        <v>81</v>
      </c>
      <c r="G21" s="3">
        <v>51163.834309722726</v>
      </c>
      <c r="H21" s="5">
        <v>49990</v>
      </c>
      <c r="I21" s="4">
        <v>80</v>
      </c>
      <c r="J21" s="4">
        <v>80</v>
      </c>
      <c r="K21" s="3">
        <v>54192.574987622465</v>
      </c>
      <c r="L21" s="5">
        <v>53999</v>
      </c>
      <c r="M21" s="4">
        <v>81</v>
      </c>
      <c r="N21" s="4">
        <v>81</v>
      </c>
      <c r="O21" s="3">
        <v>2569.9940572569622</v>
      </c>
      <c r="P21" s="5">
        <v>2569.9940572569622</v>
      </c>
      <c r="Q21" s="4">
        <v>77</v>
      </c>
      <c r="R21" s="4">
        <v>77</v>
      </c>
      <c r="S21" s="6">
        <v>1261.442</v>
      </c>
      <c r="T21" s="6">
        <v>1534.3527022799963</v>
      </c>
      <c r="U21" s="7">
        <v>1534.3527022799963</v>
      </c>
      <c r="V21" s="8">
        <v>62</v>
      </c>
      <c r="W21" s="4">
        <v>61</v>
      </c>
      <c r="X21" s="9">
        <v>61</v>
      </c>
      <c r="Y21" s="3">
        <v>22600.432302077679</v>
      </c>
      <c r="Z21" s="3">
        <f t="shared" si="7"/>
        <v>22978.2</v>
      </c>
      <c r="AA21" s="4">
        <v>34</v>
      </c>
      <c r="AB21" s="9">
        <v>34</v>
      </c>
      <c r="AC21" s="3">
        <v>12051.878574477556</v>
      </c>
      <c r="AD21" s="5">
        <v>12500</v>
      </c>
      <c r="AE21" s="4">
        <v>33</v>
      </c>
      <c r="AF21" s="4">
        <v>33</v>
      </c>
      <c r="AG21" s="3">
        <v>7488.3771775149798</v>
      </c>
      <c r="AH21" s="5">
        <v>7488.2</v>
      </c>
      <c r="AI21" s="4">
        <v>13</v>
      </c>
      <c r="AJ21" s="4">
        <v>13</v>
      </c>
      <c r="AK21" s="3">
        <v>3060.1765500851452</v>
      </c>
      <c r="AL21" s="5">
        <v>2990</v>
      </c>
      <c r="AM21" s="4">
        <v>16</v>
      </c>
      <c r="AN21" s="4">
        <v>16</v>
      </c>
      <c r="AO21" s="6">
        <v>1352.16</v>
      </c>
      <c r="AP21" s="6">
        <v>1761.5074597425191</v>
      </c>
      <c r="AQ21" s="7">
        <v>1760.4</v>
      </c>
      <c r="AR21" s="8">
        <v>4</v>
      </c>
      <c r="AS21" s="4">
        <v>9</v>
      </c>
      <c r="AT21" s="9">
        <v>10</v>
      </c>
      <c r="AU21" s="3">
        <v>104573.32333333332</v>
      </c>
      <c r="AV21" s="3">
        <f t="shared" si="8"/>
        <v>129537.19405725696</v>
      </c>
      <c r="AW21" s="6">
        <f t="shared" si="9"/>
        <v>3294.7527022799964</v>
      </c>
      <c r="AX21" s="22">
        <v>90</v>
      </c>
      <c r="AY21" s="4">
        <f t="shared" si="4"/>
        <v>73</v>
      </c>
    </row>
    <row r="22" spans="1:51" x14ac:dyDescent="0.3">
      <c r="A22" t="s">
        <v>65</v>
      </c>
      <c r="B22" t="s">
        <v>66</v>
      </c>
      <c r="C22" s="3">
        <v>95482.691233653793</v>
      </c>
      <c r="D22" s="3">
        <f t="shared" si="6"/>
        <v>95325.455612221544</v>
      </c>
      <c r="E22" s="4">
        <v>61</v>
      </c>
      <c r="F22" s="9">
        <v>63</v>
      </c>
      <c r="G22" s="3">
        <v>49068.248857928491</v>
      </c>
      <c r="H22" s="5">
        <v>48999</v>
      </c>
      <c r="I22" s="4">
        <v>61</v>
      </c>
      <c r="J22" s="4">
        <v>61</v>
      </c>
      <c r="K22" s="3">
        <v>45086.986763503766</v>
      </c>
      <c r="L22" s="5">
        <v>44999</v>
      </c>
      <c r="M22" s="4">
        <v>61</v>
      </c>
      <c r="N22" s="4">
        <v>61</v>
      </c>
      <c r="O22" s="3">
        <v>1327.4556122215436</v>
      </c>
      <c r="P22" s="5">
        <v>1327.4556122215436</v>
      </c>
      <c r="Q22" s="4">
        <v>61</v>
      </c>
      <c r="R22" s="4">
        <v>61</v>
      </c>
      <c r="S22" s="6">
        <v>909.55633333333355</v>
      </c>
      <c r="T22" s="6">
        <v>1118.8874374644377</v>
      </c>
      <c r="U22" s="7">
        <v>1118.8874374644377</v>
      </c>
      <c r="V22" s="8">
        <v>49.333333333333336</v>
      </c>
      <c r="W22" s="4">
        <v>50</v>
      </c>
      <c r="X22" s="9">
        <v>50</v>
      </c>
      <c r="Y22" s="3">
        <v>28283.910866266662</v>
      </c>
      <c r="Z22" s="3">
        <f t="shared" si="7"/>
        <v>28151</v>
      </c>
      <c r="AA22" s="4">
        <v>33</v>
      </c>
      <c r="AB22" s="9">
        <v>32</v>
      </c>
      <c r="AC22" s="3">
        <v>13813.043035338651</v>
      </c>
      <c r="AD22" s="5">
        <v>13900</v>
      </c>
      <c r="AE22" s="4">
        <v>31</v>
      </c>
      <c r="AF22" s="4">
        <v>31</v>
      </c>
      <c r="AG22" s="3">
        <v>8958.4857422300138</v>
      </c>
      <c r="AH22" s="5">
        <v>8869</v>
      </c>
      <c r="AI22" s="4">
        <v>24</v>
      </c>
      <c r="AJ22" s="4">
        <v>24</v>
      </c>
      <c r="AK22" s="3">
        <v>5512.3820886979975</v>
      </c>
      <c r="AL22" s="5">
        <v>5382</v>
      </c>
      <c r="AM22" s="4">
        <v>22</v>
      </c>
      <c r="AN22" s="4">
        <v>22</v>
      </c>
      <c r="AO22" s="6">
        <v>1606.82</v>
      </c>
      <c r="AP22" s="6">
        <v>2081.4894168267433</v>
      </c>
      <c r="AQ22" s="7">
        <v>2062</v>
      </c>
      <c r="AR22" s="8">
        <v>10.333333333333334</v>
      </c>
      <c r="AS22" s="4">
        <v>23</v>
      </c>
      <c r="AT22" s="9">
        <v>14</v>
      </c>
      <c r="AU22" s="3">
        <v>98595.456666666665</v>
      </c>
      <c r="AV22" s="3">
        <f t="shared" si="8"/>
        <v>123476.45561222154</v>
      </c>
      <c r="AW22" s="6">
        <f t="shared" si="9"/>
        <v>3180.8874374644374</v>
      </c>
      <c r="AX22" s="22">
        <v>69</v>
      </c>
      <c r="AY22" s="4">
        <f t="shared" si="4"/>
        <v>57</v>
      </c>
    </row>
    <row r="23" spans="1:51" x14ac:dyDescent="0.3">
      <c r="A23" t="s">
        <v>67</v>
      </c>
      <c r="B23" t="s">
        <v>68</v>
      </c>
      <c r="C23" s="3">
        <v>87480.257980478273</v>
      </c>
      <c r="D23" s="3">
        <f t="shared" si="6"/>
        <v>89555.971160188536</v>
      </c>
      <c r="E23" s="4">
        <v>89</v>
      </c>
      <c r="F23" s="9">
        <v>88</v>
      </c>
      <c r="G23" s="3">
        <v>33997.687455053121</v>
      </c>
      <c r="H23" s="5">
        <v>35999</v>
      </c>
      <c r="I23" s="4">
        <v>86</v>
      </c>
      <c r="J23" s="4">
        <v>86</v>
      </c>
      <c r="K23" s="3">
        <v>49924.599365236616</v>
      </c>
      <c r="L23" s="5">
        <v>49999</v>
      </c>
      <c r="M23" s="4">
        <v>88</v>
      </c>
      <c r="N23" s="4">
        <v>88</v>
      </c>
      <c r="O23" s="3">
        <v>3557.9711601885319</v>
      </c>
      <c r="P23" s="5">
        <v>3557.9711601885319</v>
      </c>
      <c r="Q23" s="4">
        <v>78</v>
      </c>
      <c r="R23" s="4">
        <v>78</v>
      </c>
      <c r="S23" s="6">
        <v>888.0086666666665</v>
      </c>
      <c r="T23" s="6">
        <v>1066.0379299837236</v>
      </c>
      <c r="U23" s="7">
        <v>1066.0379299837236</v>
      </c>
      <c r="V23" s="8">
        <v>54.666666666666664</v>
      </c>
      <c r="W23" s="4">
        <v>57</v>
      </c>
      <c r="X23" s="9">
        <v>58</v>
      </c>
      <c r="Y23" s="3">
        <v>17885.319665156458</v>
      </c>
      <c r="Z23" s="3">
        <f t="shared" si="7"/>
        <v>18015</v>
      </c>
      <c r="AA23" s="4">
        <v>32</v>
      </c>
      <c r="AB23" s="9">
        <v>34</v>
      </c>
      <c r="AC23" s="3">
        <v>8960.8496315379307</v>
      </c>
      <c r="AD23" s="5">
        <v>9000</v>
      </c>
      <c r="AE23" s="4">
        <v>28</v>
      </c>
      <c r="AF23" s="4">
        <v>28</v>
      </c>
      <c r="AG23" s="3">
        <v>5521.7107560213062</v>
      </c>
      <c r="AH23" s="5">
        <v>5525</v>
      </c>
      <c r="AI23" s="4">
        <v>20</v>
      </c>
      <c r="AJ23" s="4">
        <v>20</v>
      </c>
      <c r="AK23" s="3">
        <v>3402.7592775972194</v>
      </c>
      <c r="AL23" s="5">
        <v>3490</v>
      </c>
      <c r="AM23" s="4">
        <v>20</v>
      </c>
      <c r="AN23" s="4">
        <v>20</v>
      </c>
      <c r="AO23" s="6">
        <v>1010.0133333333334</v>
      </c>
      <c r="AP23" s="6">
        <v>1313.2721261835406</v>
      </c>
      <c r="AQ23" s="7">
        <v>1313.25</v>
      </c>
      <c r="AR23" s="8">
        <v>3</v>
      </c>
      <c r="AS23" s="4">
        <v>8</v>
      </c>
      <c r="AT23" s="9">
        <v>11</v>
      </c>
      <c r="AU23" s="3">
        <v>85127.296666666647</v>
      </c>
      <c r="AV23" s="3">
        <f t="shared" si="8"/>
        <v>107570.97116018854</v>
      </c>
      <c r="AW23" s="6">
        <f t="shared" si="9"/>
        <v>2379.2879299837236</v>
      </c>
      <c r="AX23" s="22">
        <v>97</v>
      </c>
      <c r="AY23" s="4">
        <f t="shared" si="4"/>
        <v>79</v>
      </c>
    </row>
    <row r="24" spans="1:51" x14ac:dyDescent="0.3">
      <c r="A24" t="s">
        <v>69</v>
      </c>
      <c r="B24" t="s">
        <v>70</v>
      </c>
      <c r="C24" s="3">
        <v>82754.873847012597</v>
      </c>
      <c r="D24" s="3">
        <f t="shared" si="6"/>
        <v>82407.831459739522</v>
      </c>
      <c r="E24" s="4">
        <v>118</v>
      </c>
      <c r="F24" s="9">
        <v>118</v>
      </c>
      <c r="G24" s="3">
        <v>35124.995612776846</v>
      </c>
      <c r="H24" s="5">
        <v>34999</v>
      </c>
      <c r="I24" s="4">
        <v>114</v>
      </c>
      <c r="J24" s="4">
        <v>114</v>
      </c>
      <c r="K24" s="3">
        <v>44220.046774496222</v>
      </c>
      <c r="L24" s="5">
        <v>43999</v>
      </c>
      <c r="M24" s="4">
        <v>115</v>
      </c>
      <c r="N24" s="4">
        <v>115</v>
      </c>
      <c r="O24" s="3">
        <v>3409.8314597395274</v>
      </c>
      <c r="P24" s="5">
        <v>3409.8314597395274</v>
      </c>
      <c r="Q24" s="4">
        <v>88</v>
      </c>
      <c r="R24" s="4">
        <v>88</v>
      </c>
      <c r="S24" s="6">
        <v>825.47899999999959</v>
      </c>
      <c r="T24" s="6">
        <v>995.57916961280898</v>
      </c>
      <c r="U24" s="7">
        <v>995.57916961280898</v>
      </c>
      <c r="V24" s="8">
        <v>57.333333333333336</v>
      </c>
      <c r="W24" s="4">
        <v>64</v>
      </c>
      <c r="X24" s="9">
        <v>63</v>
      </c>
      <c r="Y24" s="3">
        <v>7793.3261454759568</v>
      </c>
      <c r="Z24" s="3">
        <f t="shared" si="7"/>
        <v>8156.1</v>
      </c>
      <c r="AA24" s="4">
        <v>38</v>
      </c>
      <c r="AB24" s="9">
        <v>30</v>
      </c>
      <c r="AC24" s="3">
        <v>5208.6338955158944</v>
      </c>
      <c r="AD24" s="5">
        <v>5500</v>
      </c>
      <c r="AE24" s="4">
        <v>31</v>
      </c>
      <c r="AF24" s="4">
        <v>31</v>
      </c>
      <c r="AG24" s="3">
        <v>1466.0651506930353</v>
      </c>
      <c r="AH24" s="5">
        <v>1466</v>
      </c>
      <c r="AI24" s="4">
        <v>17</v>
      </c>
      <c r="AJ24" s="4">
        <v>17</v>
      </c>
      <c r="AK24" s="3">
        <v>1118.627099267027</v>
      </c>
      <c r="AL24" s="5">
        <v>1190.0999999999999</v>
      </c>
      <c r="AM24" s="4">
        <v>19</v>
      </c>
      <c r="AN24" s="4">
        <v>19</v>
      </c>
      <c r="AO24" s="6">
        <v>452.98666666666668</v>
      </c>
      <c r="AP24" s="6">
        <v>574.93267486014622</v>
      </c>
      <c r="AQ24" s="7">
        <v>580</v>
      </c>
      <c r="AR24" s="8">
        <v>3.6666666666666665</v>
      </c>
      <c r="AS24" s="4">
        <v>8</v>
      </c>
      <c r="AT24" s="9">
        <v>10</v>
      </c>
      <c r="AU24" s="3">
        <v>73495.289666666664</v>
      </c>
      <c r="AV24" s="3">
        <f t="shared" si="8"/>
        <v>90563.931459739528</v>
      </c>
      <c r="AW24" s="6">
        <f t="shared" si="9"/>
        <v>1575.579169612809</v>
      </c>
      <c r="AX24" s="22">
        <v>129</v>
      </c>
      <c r="AY24" s="4">
        <f t="shared" si="4"/>
        <v>106</v>
      </c>
    </row>
    <row r="25" spans="1:51" x14ac:dyDescent="0.3">
      <c r="A25" t="s">
        <v>71</v>
      </c>
      <c r="B25" t="s">
        <v>72</v>
      </c>
      <c r="C25" s="3">
        <v>72123.533675375729</v>
      </c>
      <c r="D25" s="3">
        <f t="shared" si="6"/>
        <v>72446.089032733042</v>
      </c>
      <c r="E25" s="4">
        <v>92</v>
      </c>
      <c r="F25" s="9">
        <v>90</v>
      </c>
      <c r="G25" s="3">
        <v>31359.536492253483</v>
      </c>
      <c r="H25" s="5">
        <v>31659</v>
      </c>
      <c r="I25" s="4">
        <v>90</v>
      </c>
      <c r="J25" s="4">
        <v>90</v>
      </c>
      <c r="K25" s="3">
        <v>37975.908150389208</v>
      </c>
      <c r="L25" s="5">
        <v>37999</v>
      </c>
      <c r="M25" s="4">
        <v>92</v>
      </c>
      <c r="N25" s="4">
        <v>92</v>
      </c>
      <c r="O25" s="3">
        <v>2788.0890327330435</v>
      </c>
      <c r="P25" s="5">
        <v>2788.0890327330435</v>
      </c>
      <c r="Q25" s="4">
        <v>90</v>
      </c>
      <c r="R25" s="4">
        <v>90</v>
      </c>
      <c r="S25" s="6">
        <v>658.54</v>
      </c>
      <c r="T25" s="6">
        <v>795.43783453698313</v>
      </c>
      <c r="U25" s="7">
        <v>795.43783453698313</v>
      </c>
      <c r="V25" s="8">
        <v>71.666666666666671</v>
      </c>
      <c r="W25" s="4">
        <v>68</v>
      </c>
      <c r="X25" s="9">
        <v>70</v>
      </c>
      <c r="Y25" s="3">
        <v>15388.206873175226</v>
      </c>
      <c r="Z25" s="3">
        <f t="shared" si="7"/>
        <v>15399</v>
      </c>
      <c r="AA25" s="4">
        <v>31</v>
      </c>
      <c r="AB25" s="9">
        <v>31</v>
      </c>
      <c r="AC25" s="3">
        <v>8779.2104533846577</v>
      </c>
      <c r="AD25" s="5">
        <v>8900</v>
      </c>
      <c r="AE25" s="4">
        <v>31</v>
      </c>
      <c r="AF25" s="4">
        <v>31</v>
      </c>
      <c r="AG25" s="3">
        <v>3715.1758135882442</v>
      </c>
      <c r="AH25" s="5">
        <v>3709</v>
      </c>
      <c r="AI25" s="4">
        <v>9</v>
      </c>
      <c r="AJ25" s="4">
        <v>9</v>
      </c>
      <c r="AK25" s="3">
        <v>2893.8206062023246</v>
      </c>
      <c r="AL25" s="5">
        <v>2790</v>
      </c>
      <c r="AM25" s="4">
        <v>14</v>
      </c>
      <c r="AN25" s="4">
        <v>14</v>
      </c>
      <c r="AO25" s="6">
        <v>936.54666666666674</v>
      </c>
      <c r="AP25" s="6">
        <v>1197.8359080089615</v>
      </c>
      <c r="AQ25" s="7">
        <v>1199</v>
      </c>
      <c r="AR25" s="8">
        <v>2</v>
      </c>
      <c r="AS25" s="4">
        <v>5</v>
      </c>
      <c r="AT25" s="9">
        <v>10</v>
      </c>
      <c r="AU25" s="3">
        <v>70603.012333333332</v>
      </c>
      <c r="AV25" s="3">
        <f t="shared" si="8"/>
        <v>87845.089032733042</v>
      </c>
      <c r="AW25" s="6">
        <f t="shared" si="9"/>
        <v>1994.4378345369832</v>
      </c>
      <c r="AX25" s="22">
        <v>102</v>
      </c>
      <c r="AY25" s="4">
        <f t="shared" si="4"/>
        <v>81</v>
      </c>
    </row>
    <row r="26" spans="1:51" x14ac:dyDescent="0.3">
      <c r="A26" t="s">
        <v>73</v>
      </c>
      <c r="B26" t="s">
        <v>74</v>
      </c>
      <c r="C26" s="3">
        <v>66579.893698490312</v>
      </c>
      <c r="D26" s="3">
        <f t="shared" si="6"/>
        <v>67826.182642593747</v>
      </c>
      <c r="E26" s="4">
        <v>99</v>
      </c>
      <c r="F26" s="9">
        <v>101</v>
      </c>
      <c r="G26" s="3">
        <v>29171.284609593651</v>
      </c>
      <c r="H26" s="5">
        <v>29176</v>
      </c>
      <c r="I26" s="4">
        <v>98</v>
      </c>
      <c r="J26" s="4">
        <v>98</v>
      </c>
      <c r="K26" s="3">
        <v>34661.876446302915</v>
      </c>
      <c r="L26" s="5">
        <v>35903.449999999997</v>
      </c>
      <c r="M26" s="4">
        <v>99</v>
      </c>
      <c r="N26" s="4">
        <v>99</v>
      </c>
      <c r="O26" s="3">
        <v>2746.7326425937449</v>
      </c>
      <c r="P26" s="5">
        <v>2746.7326425937449</v>
      </c>
      <c r="Q26" s="4">
        <v>90</v>
      </c>
      <c r="R26" s="4">
        <v>90</v>
      </c>
      <c r="S26" s="6">
        <v>605.72899999999993</v>
      </c>
      <c r="T26" s="6">
        <v>730.4640668066088</v>
      </c>
      <c r="U26" s="7">
        <v>730.4640668066088</v>
      </c>
      <c r="V26" s="8">
        <v>68.666666666666671</v>
      </c>
      <c r="W26" s="4">
        <v>73</v>
      </c>
      <c r="X26" s="9">
        <v>75</v>
      </c>
      <c r="Y26" s="3">
        <v>10453.185200648504</v>
      </c>
      <c r="Z26" s="3">
        <f t="shared" si="7"/>
        <v>12299.5</v>
      </c>
      <c r="AA26" s="4">
        <v>32</v>
      </c>
      <c r="AB26" s="9">
        <v>35</v>
      </c>
      <c r="AC26" s="3">
        <v>8387.4617453989777</v>
      </c>
      <c r="AD26" s="5">
        <v>8900</v>
      </c>
      <c r="AE26" s="4">
        <v>29</v>
      </c>
      <c r="AF26" s="4">
        <v>29</v>
      </c>
      <c r="AG26" s="3">
        <v>753.98411369975167</v>
      </c>
      <c r="AH26" s="5">
        <v>1199.5</v>
      </c>
      <c r="AI26" s="4">
        <v>10</v>
      </c>
      <c r="AJ26" s="4">
        <v>10</v>
      </c>
      <c r="AK26" s="3">
        <v>1311.7393415497752</v>
      </c>
      <c r="AL26" s="5">
        <v>2200</v>
      </c>
      <c r="AM26" s="4">
        <v>14</v>
      </c>
      <c r="AN26" s="4">
        <v>14</v>
      </c>
      <c r="AO26" s="6">
        <v>725.74666666666678</v>
      </c>
      <c r="AP26" s="6">
        <v>908.14654449939735</v>
      </c>
      <c r="AQ26" s="7">
        <v>950</v>
      </c>
      <c r="AR26" s="8">
        <v>3.3333333333333335</v>
      </c>
      <c r="AS26" s="4">
        <v>8</v>
      </c>
      <c r="AT26" s="9">
        <v>10</v>
      </c>
      <c r="AU26" s="3">
        <v>62528.169666666661</v>
      </c>
      <c r="AV26" s="3">
        <f t="shared" si="8"/>
        <v>80125.682642593747</v>
      </c>
      <c r="AW26" s="6">
        <f t="shared" si="9"/>
        <v>1680.4640668066088</v>
      </c>
      <c r="AX26" s="22">
        <v>111</v>
      </c>
      <c r="AY26" s="4">
        <f t="shared" si="4"/>
        <v>91</v>
      </c>
    </row>
    <row r="27" spans="1:51" x14ac:dyDescent="0.3">
      <c r="A27" s="11" t="s">
        <v>75</v>
      </c>
      <c r="B27" s="11" t="s">
        <v>76</v>
      </c>
      <c r="C27" s="12">
        <f t="shared" ref="C27:AX27" si="10">SUM(C17:C26)</f>
        <v>1052780.0300000007</v>
      </c>
      <c r="D27" s="12">
        <f t="shared" si="10"/>
        <v>1053780.0309635494</v>
      </c>
      <c r="E27" s="13">
        <f t="shared" si="10"/>
        <v>832</v>
      </c>
      <c r="F27" s="13">
        <f t="shared" si="10"/>
        <v>832</v>
      </c>
      <c r="G27" s="12">
        <f t="shared" si="10"/>
        <v>443671.02</v>
      </c>
      <c r="H27" s="12">
        <f t="shared" si="10"/>
        <v>443671.02</v>
      </c>
      <c r="I27" s="13">
        <f t="shared" si="10"/>
        <v>813</v>
      </c>
      <c r="J27" s="13">
        <f t="shared" si="10"/>
        <v>813</v>
      </c>
      <c r="K27" s="12">
        <f t="shared" si="10"/>
        <v>577894.45000000042</v>
      </c>
      <c r="L27" s="12">
        <f t="shared" si="10"/>
        <v>578894.44999999995</v>
      </c>
      <c r="M27" s="13">
        <f t="shared" si="10"/>
        <v>826</v>
      </c>
      <c r="N27" s="13">
        <f t="shared" si="10"/>
        <v>826</v>
      </c>
      <c r="O27" s="12">
        <f t="shared" si="10"/>
        <v>31214.559999999965</v>
      </c>
      <c r="P27" s="12">
        <f t="shared" si="10"/>
        <v>31214.5609635494</v>
      </c>
      <c r="Q27" s="13">
        <f t="shared" si="10"/>
        <v>755</v>
      </c>
      <c r="R27" s="13">
        <f t="shared" si="10"/>
        <v>755</v>
      </c>
      <c r="S27" s="14">
        <f t="shared" si="10"/>
        <v>10951.397999999997</v>
      </c>
      <c r="T27" s="14">
        <f t="shared" si="10"/>
        <v>13257.399999999994</v>
      </c>
      <c r="U27" s="14">
        <f t="shared" si="10"/>
        <v>13264.714992920679</v>
      </c>
      <c r="V27" s="15">
        <f t="shared" si="10"/>
        <v>573</v>
      </c>
      <c r="W27" s="13">
        <f t="shared" si="10"/>
        <v>601</v>
      </c>
      <c r="X27" s="13">
        <f t="shared" si="10"/>
        <v>601</v>
      </c>
      <c r="Y27" s="12">
        <f t="shared" si="10"/>
        <v>215554.25999999978</v>
      </c>
      <c r="Z27" s="12">
        <f t="shared" si="10"/>
        <v>215554.25892484334</v>
      </c>
      <c r="AA27" s="13">
        <f t="shared" si="10"/>
        <v>331</v>
      </c>
      <c r="AB27" s="13">
        <f t="shared" si="10"/>
        <v>331</v>
      </c>
      <c r="AC27" s="12">
        <f t="shared" si="10"/>
        <v>116082.95999999983</v>
      </c>
      <c r="AD27" s="12">
        <f t="shared" si="10"/>
        <v>116082.95999999999</v>
      </c>
      <c r="AE27" s="13">
        <f t="shared" si="10"/>
        <v>310</v>
      </c>
      <c r="AF27" s="13">
        <f t="shared" si="10"/>
        <v>310</v>
      </c>
      <c r="AG27" s="12">
        <f t="shared" si="10"/>
        <v>57429.200000000012</v>
      </c>
      <c r="AH27" s="12">
        <f t="shared" si="10"/>
        <v>57429.198924843309</v>
      </c>
      <c r="AI27" s="13">
        <f t="shared" si="10"/>
        <v>151</v>
      </c>
      <c r="AJ27" s="13">
        <f t="shared" si="10"/>
        <v>151</v>
      </c>
      <c r="AK27" s="12">
        <f t="shared" si="10"/>
        <v>42042.099999999948</v>
      </c>
      <c r="AL27" s="12">
        <f t="shared" si="10"/>
        <v>42042.1</v>
      </c>
      <c r="AM27" s="13">
        <f t="shared" si="10"/>
        <v>169</v>
      </c>
      <c r="AN27" s="13">
        <f t="shared" si="10"/>
        <v>169</v>
      </c>
      <c r="AO27" s="14">
        <f t="shared" si="10"/>
        <v>12653.28</v>
      </c>
      <c r="AP27" s="14">
        <f t="shared" si="10"/>
        <v>16302.650000000016</v>
      </c>
      <c r="AQ27" s="14">
        <f t="shared" si="10"/>
        <v>16302.65</v>
      </c>
      <c r="AR27" s="15">
        <f t="shared" si="10"/>
        <v>52.666666666666671</v>
      </c>
      <c r="AS27" s="13">
        <f t="shared" si="10"/>
        <v>120</v>
      </c>
      <c r="AT27" s="13">
        <f t="shared" si="10"/>
        <v>120</v>
      </c>
      <c r="AU27" s="12">
        <f t="shared" si="10"/>
        <v>1023013.9866666667</v>
      </c>
      <c r="AV27" s="12">
        <f t="shared" si="10"/>
        <v>1269334.2898883927</v>
      </c>
      <c r="AW27" s="14">
        <f t="shared" si="10"/>
        <v>29567.364992920677</v>
      </c>
      <c r="AX27" s="13">
        <f t="shared" si="10"/>
        <v>922</v>
      </c>
      <c r="AY27" s="13">
        <f t="shared" si="4"/>
        <v>749</v>
      </c>
    </row>
    <row r="28" spans="1:51" x14ac:dyDescent="0.3">
      <c r="A28" t="s">
        <v>77</v>
      </c>
      <c r="B28" t="s">
        <v>78</v>
      </c>
      <c r="C28" s="3">
        <v>855309.93</v>
      </c>
      <c r="D28" s="3">
        <f>H28+L28+P28</f>
        <v>855309.93</v>
      </c>
      <c r="E28" s="4">
        <v>33</v>
      </c>
      <c r="F28" s="9">
        <v>33</v>
      </c>
      <c r="G28" s="3">
        <v>289264.16123521171</v>
      </c>
      <c r="H28" s="5">
        <v>273288.19</v>
      </c>
      <c r="I28" s="4">
        <v>33</v>
      </c>
      <c r="J28" s="4">
        <v>33</v>
      </c>
      <c r="K28" s="3">
        <v>537515.19738448388</v>
      </c>
      <c r="L28" s="5">
        <v>507828.39</v>
      </c>
      <c r="M28" s="4">
        <v>33</v>
      </c>
      <c r="N28" s="4">
        <v>33</v>
      </c>
      <c r="O28" s="3">
        <v>78530.571380304202</v>
      </c>
      <c r="P28" s="5">
        <v>74193.350000000006</v>
      </c>
      <c r="Q28" s="4">
        <v>33</v>
      </c>
      <c r="R28" s="4">
        <v>33</v>
      </c>
      <c r="S28" s="6">
        <v>10460.018</v>
      </c>
      <c r="T28" s="6">
        <v>11844.420000000006</v>
      </c>
      <c r="U28" s="7">
        <v>11844.420000000006</v>
      </c>
      <c r="V28" s="8">
        <v>28.333333333333332</v>
      </c>
      <c r="W28" s="4">
        <v>0</v>
      </c>
      <c r="X28" s="9">
        <v>0</v>
      </c>
      <c r="Y28" s="3">
        <v>0</v>
      </c>
      <c r="Z28" s="3">
        <f>AD28+AH28+AL28</f>
        <v>0</v>
      </c>
      <c r="AA28" s="4">
        <v>0</v>
      </c>
      <c r="AB28" s="9">
        <v>0</v>
      </c>
      <c r="AC28" s="3">
        <v>0</v>
      </c>
      <c r="AD28" s="5">
        <v>0</v>
      </c>
      <c r="AE28" s="4">
        <v>0</v>
      </c>
      <c r="AF28" s="4">
        <v>0</v>
      </c>
      <c r="AG28" s="3">
        <v>0</v>
      </c>
      <c r="AH28" s="5">
        <v>0</v>
      </c>
      <c r="AI28" s="4">
        <v>0</v>
      </c>
      <c r="AJ28" s="4">
        <v>0</v>
      </c>
      <c r="AK28" s="3">
        <v>0</v>
      </c>
      <c r="AL28" s="5">
        <v>0</v>
      </c>
      <c r="AM28" s="4">
        <v>0</v>
      </c>
      <c r="AN28" s="4">
        <v>0</v>
      </c>
      <c r="AO28" s="6">
        <v>0</v>
      </c>
      <c r="AP28" s="6">
        <v>0</v>
      </c>
      <c r="AQ28" s="7">
        <v>0</v>
      </c>
      <c r="AR28" s="8">
        <v>0</v>
      </c>
      <c r="AS28" s="4">
        <v>0</v>
      </c>
      <c r="AT28" s="9">
        <v>0</v>
      </c>
      <c r="AU28" s="3">
        <v>800779.9833333334</v>
      </c>
      <c r="AV28" s="3">
        <f>D28+Z28</f>
        <v>855309.93</v>
      </c>
      <c r="AW28" s="6">
        <f>U28+AQ28</f>
        <v>11844.420000000006</v>
      </c>
      <c r="AX28" s="22">
        <v>33</v>
      </c>
      <c r="AY28" s="4">
        <f t="shared" si="4"/>
        <v>30</v>
      </c>
    </row>
    <row r="29" spans="1:51" x14ac:dyDescent="0.3">
      <c r="A29" s="11" t="s">
        <v>79</v>
      </c>
      <c r="B29" s="11" t="s">
        <v>80</v>
      </c>
      <c r="C29" s="12">
        <f t="shared" ref="C29:AX29" si="11">SUM(C28:C28)</f>
        <v>855309.93</v>
      </c>
      <c r="D29" s="12">
        <f t="shared" si="11"/>
        <v>855309.93</v>
      </c>
      <c r="E29" s="13">
        <f t="shared" si="11"/>
        <v>33</v>
      </c>
      <c r="F29" s="13">
        <f t="shared" si="11"/>
        <v>33</v>
      </c>
      <c r="G29" s="12">
        <f t="shared" si="11"/>
        <v>289264.16123521171</v>
      </c>
      <c r="H29" s="12">
        <f t="shared" si="11"/>
        <v>273288.19</v>
      </c>
      <c r="I29" s="13">
        <f t="shared" si="11"/>
        <v>33</v>
      </c>
      <c r="J29" s="13">
        <f t="shared" si="11"/>
        <v>33</v>
      </c>
      <c r="K29" s="12">
        <f t="shared" si="11"/>
        <v>537515.19738448388</v>
      </c>
      <c r="L29" s="12">
        <f t="shared" si="11"/>
        <v>507828.39</v>
      </c>
      <c r="M29" s="13">
        <f t="shared" si="11"/>
        <v>33</v>
      </c>
      <c r="N29" s="13">
        <f t="shared" si="11"/>
        <v>33</v>
      </c>
      <c r="O29" s="12">
        <f t="shared" si="11"/>
        <v>78530.571380304202</v>
      </c>
      <c r="P29" s="12">
        <f t="shared" si="11"/>
        <v>74193.350000000006</v>
      </c>
      <c r="Q29" s="13">
        <f t="shared" si="11"/>
        <v>33</v>
      </c>
      <c r="R29" s="13">
        <f t="shared" si="11"/>
        <v>33</v>
      </c>
      <c r="S29" s="14">
        <f t="shared" si="11"/>
        <v>10460.018</v>
      </c>
      <c r="T29" s="14">
        <f t="shared" si="11"/>
        <v>11844.420000000006</v>
      </c>
      <c r="U29" s="14">
        <f t="shared" si="11"/>
        <v>11844.420000000006</v>
      </c>
      <c r="V29" s="15">
        <f t="shared" si="11"/>
        <v>28.333333333333332</v>
      </c>
      <c r="W29" s="13">
        <f t="shared" si="11"/>
        <v>0</v>
      </c>
      <c r="X29" s="13">
        <f t="shared" si="11"/>
        <v>0</v>
      </c>
      <c r="Y29" s="12">
        <f t="shared" si="11"/>
        <v>0</v>
      </c>
      <c r="Z29" s="12">
        <f t="shared" si="11"/>
        <v>0</v>
      </c>
      <c r="AA29" s="13">
        <f t="shared" si="11"/>
        <v>0</v>
      </c>
      <c r="AB29" s="13">
        <f t="shared" si="11"/>
        <v>0</v>
      </c>
      <c r="AC29" s="12">
        <f t="shared" si="11"/>
        <v>0</v>
      </c>
      <c r="AD29" s="12">
        <f t="shared" si="11"/>
        <v>0</v>
      </c>
      <c r="AE29" s="13">
        <f t="shared" si="11"/>
        <v>0</v>
      </c>
      <c r="AF29" s="13">
        <f t="shared" si="11"/>
        <v>0</v>
      </c>
      <c r="AG29" s="12">
        <f t="shared" si="11"/>
        <v>0</v>
      </c>
      <c r="AH29" s="12">
        <f t="shared" si="11"/>
        <v>0</v>
      </c>
      <c r="AI29" s="13">
        <f t="shared" si="11"/>
        <v>0</v>
      </c>
      <c r="AJ29" s="13">
        <f t="shared" si="11"/>
        <v>0</v>
      </c>
      <c r="AK29" s="12">
        <f t="shared" si="11"/>
        <v>0</v>
      </c>
      <c r="AL29" s="12">
        <f t="shared" si="11"/>
        <v>0</v>
      </c>
      <c r="AM29" s="13">
        <f t="shared" si="11"/>
        <v>0</v>
      </c>
      <c r="AN29" s="13">
        <f t="shared" si="11"/>
        <v>0</v>
      </c>
      <c r="AO29" s="14">
        <f t="shared" si="11"/>
        <v>0</v>
      </c>
      <c r="AP29" s="14">
        <f t="shared" si="11"/>
        <v>0</v>
      </c>
      <c r="AQ29" s="14">
        <f t="shared" si="11"/>
        <v>0</v>
      </c>
      <c r="AR29" s="15">
        <f t="shared" si="11"/>
        <v>0</v>
      </c>
      <c r="AS29" s="13">
        <f t="shared" si="11"/>
        <v>0</v>
      </c>
      <c r="AT29" s="13">
        <f t="shared" si="11"/>
        <v>0</v>
      </c>
      <c r="AU29" s="12">
        <f t="shared" si="11"/>
        <v>800779.9833333334</v>
      </c>
      <c r="AV29" s="12">
        <f t="shared" si="11"/>
        <v>855309.93</v>
      </c>
      <c r="AW29" s="14">
        <f t="shared" si="11"/>
        <v>11844.420000000006</v>
      </c>
      <c r="AX29" s="13">
        <f t="shared" si="11"/>
        <v>33</v>
      </c>
      <c r="AY29" s="13">
        <f t="shared" si="4"/>
        <v>30</v>
      </c>
    </row>
    <row r="30" spans="1:51" x14ac:dyDescent="0.3">
      <c r="A30" s="16" t="s">
        <v>81</v>
      </c>
      <c r="B30" s="17" t="s">
        <v>82</v>
      </c>
      <c r="C30" s="18">
        <f t="shared" ref="C30:AH30" si="12">C16+C27+C29</f>
        <v>3050486.5200000009</v>
      </c>
      <c r="D30" s="18">
        <f t="shared" si="12"/>
        <v>3051700.3178958665</v>
      </c>
      <c r="E30" s="19">
        <f t="shared" si="12"/>
        <v>1767</v>
      </c>
      <c r="F30" s="19">
        <f t="shared" si="12"/>
        <v>1767</v>
      </c>
      <c r="G30" s="18">
        <f t="shared" si="12"/>
        <v>1183483.9112352119</v>
      </c>
      <c r="H30" s="18">
        <f t="shared" si="12"/>
        <v>1167537.3914863595</v>
      </c>
      <c r="I30" s="19">
        <f t="shared" si="12"/>
        <v>1726</v>
      </c>
      <c r="J30" s="19">
        <f t="shared" si="12"/>
        <v>1726</v>
      </c>
      <c r="K30" s="18">
        <f t="shared" si="12"/>
        <v>1761835.9473844839</v>
      </c>
      <c r="L30" s="18">
        <f t="shared" si="12"/>
        <v>1733293.9221798386</v>
      </c>
      <c r="M30" s="19">
        <f t="shared" si="12"/>
        <v>1750</v>
      </c>
      <c r="N30" s="19">
        <f t="shared" si="12"/>
        <v>1750</v>
      </c>
      <c r="O30" s="18">
        <f t="shared" si="12"/>
        <v>155166.66138030417</v>
      </c>
      <c r="P30" s="18">
        <f t="shared" si="12"/>
        <v>150869.00422966856</v>
      </c>
      <c r="Q30" s="19">
        <f t="shared" si="12"/>
        <v>1551</v>
      </c>
      <c r="R30" s="19">
        <f t="shared" si="12"/>
        <v>1551</v>
      </c>
      <c r="S30" s="20">
        <f t="shared" si="12"/>
        <v>33103.342333333334</v>
      </c>
      <c r="T30" s="20">
        <f t="shared" si="12"/>
        <v>39537.67</v>
      </c>
      <c r="U30" s="20">
        <f t="shared" si="12"/>
        <v>39631.031560087882</v>
      </c>
      <c r="V30" s="21">
        <f t="shared" si="12"/>
        <v>1189.6666666666667</v>
      </c>
      <c r="W30" s="19">
        <f t="shared" si="12"/>
        <v>1222</v>
      </c>
      <c r="X30" s="19">
        <f t="shared" si="12"/>
        <v>1222</v>
      </c>
      <c r="Y30" s="18">
        <f t="shared" si="12"/>
        <v>446362.49999999936</v>
      </c>
      <c r="Z30" s="18">
        <f t="shared" si="12"/>
        <v>446362.49892484292</v>
      </c>
      <c r="AA30" s="19">
        <f t="shared" si="12"/>
        <v>757</v>
      </c>
      <c r="AB30" s="19">
        <f t="shared" si="12"/>
        <v>757</v>
      </c>
      <c r="AC30" s="18">
        <f t="shared" si="12"/>
        <v>243973.32999999946</v>
      </c>
      <c r="AD30" s="18">
        <f t="shared" si="12"/>
        <v>243973.32999999961</v>
      </c>
      <c r="AE30" s="19">
        <f t="shared" si="12"/>
        <v>681</v>
      </c>
      <c r="AF30" s="19">
        <f t="shared" si="12"/>
        <v>681</v>
      </c>
      <c r="AG30" s="18">
        <f t="shared" si="12"/>
        <v>105438.34</v>
      </c>
      <c r="AH30" s="18">
        <f t="shared" si="12"/>
        <v>105438.33892484329</v>
      </c>
      <c r="AI30" s="19">
        <f t="shared" ref="AI30:AY30" si="13">AI16+AI27+AI29</f>
        <v>318</v>
      </c>
      <c r="AJ30" s="19">
        <f t="shared" si="13"/>
        <v>318</v>
      </c>
      <c r="AK30" s="18">
        <f t="shared" si="13"/>
        <v>96950.8299999999</v>
      </c>
      <c r="AL30" s="18">
        <f t="shared" si="13"/>
        <v>96950.829999999944</v>
      </c>
      <c r="AM30" s="19">
        <f t="shared" si="13"/>
        <v>405</v>
      </c>
      <c r="AN30" s="19">
        <f t="shared" si="13"/>
        <v>405</v>
      </c>
      <c r="AO30" s="20">
        <f t="shared" si="13"/>
        <v>24974.925333333333</v>
      </c>
      <c r="AP30" s="20">
        <f t="shared" si="13"/>
        <v>34037.250000000022</v>
      </c>
      <c r="AQ30" s="20">
        <f t="shared" si="13"/>
        <v>34037.250000000007</v>
      </c>
      <c r="AR30" s="21">
        <f t="shared" si="13"/>
        <v>107.66666666666669</v>
      </c>
      <c r="AS30" s="19">
        <f t="shared" si="13"/>
        <v>240</v>
      </c>
      <c r="AT30" s="19">
        <f t="shared" si="13"/>
        <v>240</v>
      </c>
      <c r="AU30" s="18">
        <f t="shared" si="13"/>
        <v>2925083.5556666665</v>
      </c>
      <c r="AV30" s="18">
        <f t="shared" si="13"/>
        <v>3498062.81682071</v>
      </c>
      <c r="AW30" s="20">
        <f t="shared" si="13"/>
        <v>73668.281560087897</v>
      </c>
      <c r="AX30" s="19">
        <f t="shared" si="13"/>
        <v>2128</v>
      </c>
      <c r="AY30" s="19">
        <f t="shared" si="13"/>
        <v>1591</v>
      </c>
    </row>
  </sheetData>
  <mergeCells count="37">
    <mergeCell ref="AU2:AV2"/>
    <mergeCell ref="AI2:AJ2"/>
    <mergeCell ref="AK2:AL2"/>
    <mergeCell ref="AM2:AN2"/>
    <mergeCell ref="AP2:AQ2"/>
    <mergeCell ref="AS2:AT2"/>
    <mergeCell ref="AY1"/>
    <mergeCell ref="C2:D2"/>
    <mergeCell ref="E2:F2"/>
    <mergeCell ref="G2:H2"/>
    <mergeCell ref="I2:J2"/>
    <mergeCell ref="K2:L2"/>
    <mergeCell ref="M2:N2"/>
    <mergeCell ref="O2:P2"/>
    <mergeCell ref="Q2:R2"/>
    <mergeCell ref="T2:U2"/>
    <mergeCell ref="W2:X2"/>
    <mergeCell ref="Y2:Z2"/>
    <mergeCell ref="AA2:AB2"/>
    <mergeCell ref="AC2:AD2"/>
    <mergeCell ref="AE2:AF2"/>
    <mergeCell ref="AG2:AH2"/>
    <mergeCell ref="AG1:AJ1"/>
    <mergeCell ref="AK1:AN1"/>
    <mergeCell ref="AO1:AQ1"/>
    <mergeCell ref="AR1:AT1"/>
    <mergeCell ref="AU1:AX1"/>
    <mergeCell ref="O1:R1"/>
    <mergeCell ref="S1:U1"/>
    <mergeCell ref="V1:X1"/>
    <mergeCell ref="Y1:AB1"/>
    <mergeCell ref="AC1:AF1"/>
    <mergeCell ref="A1:A3"/>
    <mergeCell ref="B1:B3"/>
    <mergeCell ref="C1:F1"/>
    <mergeCell ref="G1:J1"/>
    <mergeCell ref="K1:N1"/>
  </mergeCells>
  <pageMargins left="0.511811024" right="0.511811024" top="0.78740157499999996" bottom="0.78740157499999996" header="0.31496062000000002" footer="0.31496062000000002"/>
  <ignoredErrors>
    <ignoredError sqref="A1:AY3 A27:AY27 A17:E26 G17:G26 I17:K26 M17:O26 Q17:T26 V17:W26 Y17:AA26 AC17:AC26 AE17:AG26 AI17:AK26 AM17:AP26 AR17:AS26 AU17:AY26 A29:AY30 A28:B28 I28:K28 M28:O28 Q28:AY28 D28:G28 A16:AY16 A4:E15 G4:G15 I4:K15 M4:O15 Q4:T15 V4:W15 Y4:AS15 AU4:AY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 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Nunes</dc:creator>
  <cp:lastModifiedBy>Osvaldo Nunes</cp:lastModifiedBy>
  <dcterms:created xsi:type="dcterms:W3CDTF">2026-08-06T20:12:51Z</dcterms:created>
  <dcterms:modified xsi:type="dcterms:W3CDTF">2026-08-11T01:00:01Z</dcterms:modified>
</cp:coreProperties>
</file>